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4b09b5aa3434936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" sheetId="1" r:id="R5669b74fb3f340ae"/>
    <x:sheet xmlns:r="http://schemas.openxmlformats.org/officeDocument/2006/relationships" name="Applications" sheetId="2" r:id="R7b38526d99f34f3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8">
    <x:font>
      <x:sz val="11"/>
      <x:name val="Carlito"/>
    </x:font>
    <x:font>
      <x:sz val="10"/>
      <x:color rgb="FF1F2937"/>
      <x:name val="Arial"/>
    </x:font>
    <x:font>
      <x:b/>
      <x:sz val="16"/>
      <x:color rgb="FF17365D"/>
      <x:name val="Arial"/>
    </x:font>
    <x:font>
      <x:i/>
      <x:sz val="10"/>
      <x:color rgb="FF5B6573"/>
      <x:name val="Arial"/>
    </x:font>
    <x:font>
      <x:b/>
      <x:sz val="10"/>
      <x:color rgb="FF17365D"/>
      <x:name val="Arial"/>
    </x:font>
    <x:font>
      <x:b/>
      <x:sz val="14"/>
      <x:color rgb="FF17365D"/>
      <x:name val="Arial"/>
    </x:font>
    <x:font>
      <x:i/>
      <x:sz val="9"/>
      <x:color rgb="FF5B6573"/>
      <x:name val="Arial"/>
    </x:font>
    <x:font>
      <x:b/>
      <x:sz val="10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DCE6F1"/>
      </x:patternFill>
    </x:fill>
    <x:fill>
      <x:patternFill patternType="solid">
        <x:fgColor rgb="FF1F4E78"/>
      </x:patternFill>
    </x:fill>
  </x:fills>
  <x:borders count="15">
    <x:border/>
    <x:border>
      <x:bottom style="thin">
        <x:color rgb="FF9CA3AF"/>
      </x:bottom>
    </x:border>
    <x:border>
      <x:left style="thin">
        <x:color rgb="FF9CA3AF"/>
      </x:left>
      <x:top style="thin">
        <x:color rgb="FF9CA3AF"/>
      </x:top>
    </x:border>
    <x:border>
      <x:top style="thin">
        <x:color rgb="FF9CA3AF"/>
      </x:top>
    </x:border>
    <x:border>
      <x:right style="thin">
        <x:color rgb="FF9CA3AF"/>
      </x:right>
      <x:top style="thin">
        <x:color rgb="FF9CA3AF"/>
      </x:top>
    </x:border>
    <x:border>
      <x:left style="thin">
        <x:color rgb="FF9CA3AF"/>
      </x:left>
      <x:bottom style="thin">
        <x:color rgb="FF9CA3AF"/>
      </x:bottom>
    </x:border>
    <x:border>
      <x:right style="thin">
        <x:color rgb="FF9CA3AF"/>
      </x:right>
      <x:bottom style="thin">
        <x:color rgb="FF9CA3AF"/>
      </x:bottom>
    </x:border>
    <x:border>
      <x:left style="thin">
        <x:color rgb="FFD1D5DB"/>
      </x:left>
      <x:top style="thin">
        <x:color rgb="FFD1D5DB"/>
      </x:top>
    </x:border>
    <x:border>
      <x:top style="thin">
        <x:color rgb="FFD1D5DB"/>
      </x:top>
    </x:border>
    <x:border>
      <x:right style="thin">
        <x:color rgb="FFD1D5DB"/>
      </x:right>
      <x:top style="thin">
        <x:color rgb="FFD1D5DB"/>
      </x:top>
    </x:border>
    <x:border>
      <x:left style="thin">
        <x:color rgb="FFD1D5DB"/>
      </x:left>
    </x:border>
    <x:border>
      <x:right style="thin">
        <x:color rgb="FFD1D5DB"/>
      </x:right>
    </x:border>
    <x:border>
      <x:left style="thin">
        <x:color rgb="FFD1D5DB"/>
      </x:left>
      <x:bottom style="thin">
        <x:color rgb="FFD1D5DB"/>
      </x:bottom>
    </x:border>
    <x:border>
      <x:bottom style="thin">
        <x:color rgb="FFD1D5DB"/>
      </x:bottom>
    </x:border>
    <x:border>
      <x:right style="thin">
        <x:color rgb="FFD1D5DB"/>
      </x:right>
      <x:bottom style="thin">
        <x:color rgb="FFD1D5DB"/>
      </x:bottom>
    </x:border>
  </x:borders>
  <x:cellStyleXfs count="1">
    <x:xf numFmtId="0" fontId="0" fillId="0" borderId="0"/>
  </x:cellStyleXfs>
  <x:cellXfs count="44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5" fillId="0" borderId="0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horizontal="center" vertical="center"/>
    </x:xf>
    <x:xf numFmtId="200" fontId="5" fillId="0" borderId="0" xfId="0" applyNumberFormat="1" applyFont="1" applyFill="1" applyBorder="1" applyAlignment="1">
      <x:alignment horizontal="center"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4" fillId="2" borderId="2" xfId="0" applyNumberFormat="1" applyFont="1" applyFill="1" applyBorder="1" applyAlignment="1">
      <x:alignment horizontal="center" vertical="center"/>
    </x:xf>
    <x:xf numFmtId="0" fontId="4" fillId="2" borderId="3" xfId="0" applyNumberFormat="1" applyFont="1" applyFill="1" applyBorder="1" applyAlignment="1">
      <x:alignment horizontal="center" vertical="center"/>
    </x:xf>
    <x:xf numFmtId="0" fontId="4" fillId="2" borderId="4" xfId="0" applyNumberFormat="1" applyFont="1" applyFill="1" applyBorder="1" applyAlignment="1">
      <x:alignment horizontal="center" vertical="center"/>
    </x:xf>
    <x:xf numFmtId="0" fontId="5" fillId="0" borderId="5" xfId="0" applyNumberFormat="1" applyFont="1" applyFill="1" applyBorder="1" applyAlignment="1">
      <x:alignment horizontal="center" vertical="center"/>
    </x:xf>
    <x:xf numFmtId="0" fontId="5" fillId="0" borderId="1" xfId="0" applyNumberFormat="1" applyFont="1" applyFill="1" applyBorder="1" applyAlignment="1">
      <x:alignment horizontal="center" vertical="center"/>
    </x:xf>
    <x:xf numFmtId="200" fontId="5" fillId="0" borderId="1" xfId="0" applyNumberFormat="1" applyFont="1" applyFill="1" applyBorder="1" applyAlignment="1">
      <x:alignment horizontal="center" vertical="center"/>
    </x:xf>
    <x:xf numFmtId="0" fontId="1" fillId="0" borderId="6" xfId="0" applyNumberFormat="1" applyFont="1" applyFill="1" applyBorder="1" applyAlignment="1">
      <x:alignment vertical="center" wrapText="1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horizontal="center" vertical="center"/>
    </x:xf>
    <x:xf numFmtId="200" fontId="1" fillId="0" borderId="0" xfId="0" applyNumberFormat="1" applyFont="1" applyFill="1" applyBorder="1" applyAlignment="1">
      <x:alignment vertical="center"/>
    </x:xf>
    <x:xf numFmtId="0" fontId="7" fillId="3" borderId="7" xfId="0" applyNumberFormat="1" applyFont="1" applyFill="1" applyBorder="1" applyAlignment="1">
      <x:alignment horizontal="center" vertical="center"/>
    </x:xf>
    <x:xf numFmtId="0" fontId="7" fillId="3" borderId="8" xfId="0" applyNumberFormat="1" applyFont="1" applyFill="1" applyBorder="1" applyAlignment="1">
      <x:alignment horizontal="center" vertical="center"/>
    </x:xf>
    <x:xf numFmtId="0" fontId="7" fillId="3" borderId="9" xfId="0" applyNumberFormat="1" applyFont="1" applyFill="1" applyBorder="1" applyAlignment="1">
      <x:alignment horizontal="center" vertical="center"/>
    </x:xf>
    <x:xf numFmtId="0" fontId="1" fillId="0" borderId="10" xfId="0" applyNumberFormat="1" applyFont="1" applyFill="1" applyBorder="1" applyAlignment="1">
      <x:alignment vertical="center"/>
    </x:xf>
    <x:xf numFmtId="0" fontId="1" fillId="0" borderId="11" xfId="0" applyNumberFormat="1" applyFont="1" applyFill="1" applyBorder="1" applyAlignment="1">
      <x:alignment vertical="center"/>
    </x:xf>
    <x:xf numFmtId="0" fontId="1" fillId="0" borderId="12" xfId="0" applyNumberFormat="1" applyFont="1" applyFill="1" applyBorder="1" applyAlignment="1">
      <x:alignment vertical="center"/>
    </x:xf>
    <x:xf numFmtId="0" fontId="1" fillId="0" borderId="13" xfId="0" applyNumberFormat="1" applyFont="1" applyFill="1" applyBorder="1" applyAlignment="1">
      <x:alignment vertical="center"/>
    </x:xf>
    <x:xf numFmtId="200" fontId="1" fillId="0" borderId="13" xfId="0" applyNumberFormat="1" applyFont="1" applyFill="1" applyBorder="1" applyAlignment="1">
      <x:alignment vertical="center"/>
    </x:xf>
    <x:xf numFmtId="0" fontId="1" fillId="0" borderId="14" xfId="0" applyNumberFormat="1" applyFont="1" applyFill="1" applyBorder="1" applyAlignment="1">
      <x:alignment vertical="center"/>
    </x:xf>
    <x:xf numFmtId="0" fontId="7" fillId="3" borderId="7" xfId="0" applyNumberFormat="1" applyFont="1" applyFill="1" applyBorder="1" applyAlignment="1">
      <x:alignment horizontal="center" vertical="center" wrapText="1"/>
    </x:xf>
    <x:xf numFmtId="0" fontId="7" fillId="3" borderId="8" xfId="0" applyNumberFormat="1" applyFont="1" applyFill="1" applyBorder="1" applyAlignment="1">
      <x:alignment horizontal="center" vertical="center" wrapText="1"/>
    </x:xf>
    <x:xf numFmtId="0" fontId="7" fillId="3" borderId="9" xfId="0" applyNumberFormat="1" applyFont="1" applyFill="1" applyBorder="1" applyAlignment="1">
      <x:alignment horizontal="center" vertical="center" wrapText="1"/>
    </x:xf>
    <x:xf numFmtId="0" fontId="1" fillId="0" borderId="1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center" wrapText="1"/>
    </x:xf>
    <x:xf numFmtId="0" fontId="1" fillId="0" borderId="11" xfId="0" applyNumberFormat="1" applyFont="1" applyFill="1" applyBorder="1" applyAlignment="1">
      <x:alignment vertical="center" wrapText="1"/>
    </x:xf>
    <x:xf numFmtId="0" fontId="1" fillId="0" borderId="12" xfId="0" applyNumberFormat="1" applyFont="1" applyFill="1" applyBorder="1" applyAlignment="1">
      <x:alignment vertical="center" wrapText="1"/>
    </x:xf>
    <x:xf numFmtId="0" fontId="1" fillId="0" borderId="13" xfId="0" applyNumberFormat="1" applyFont="1" applyFill="1" applyBorder="1" applyAlignment="1">
      <x:alignment vertical="center" wrapText="1"/>
    </x:xf>
    <x:xf numFmtId="200" fontId="1" fillId="0" borderId="13" xfId="0" applyNumberFormat="1" applyFont="1" applyFill="1" applyBorder="1" applyAlignment="1">
      <x:alignment vertical="center" wrapText="1"/>
    </x:xf>
    <x:xf numFmtId="0" fontId="1" fillId="0" borderId="14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10">
    <x:dxf>
      <x:font>
        <x:b/>
        <x:color rgb="FF9C2F00"/>
      </x:font>
      <x:fill>
        <x:patternFill patternType="solid">
          <x:bgColor rgb="FFFDE9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9C2F00"/>
      </x:font>
      <x:fill>
        <x:patternFill patternType="solid">
          <x:bgColor rgb="FFFCE4D6"/>
        </x:patternFill>
      </x:fill>
    </x:dxf>
    <x:dxf>
      <x:font>
        <x:b/>
        <x:color rgb="FF9C2F00"/>
      </x:font>
      <x:fill>
        <x:patternFill patternType="solid">
          <x:bgColor rgb="FFFDE9D9"/>
        </x:patternFill>
      </x:fill>
    </x:dxf>
    <x:dxf>
      <x:font>
        <x:b/>
        <x:color rgb="FF375623"/>
      </x:font>
      <x:fill>
        <x:patternFill patternType="solid">
          <x:bgColor rgb="FFE2F0D9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7F6000"/>
      </x:font>
      <x:fill>
        <x:patternFill patternType="solid">
          <x:bgColor rgb="FFFFF2CC"/>
        </x:patternFill>
      </x:fill>
    </x:dxf>
    <x:dxf>
      <x:font>
        <x:b/>
        <x:color rgb="FF9C2F00"/>
      </x:font>
      <x:fill>
        <x:patternFill patternType="solid">
          <x:bgColor rgb="FFFCE4D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556c9ba7b144d10" /><Relationship Type="http://schemas.openxmlformats.org/officeDocument/2006/relationships/theme" Target="/xl/theme/theme1.xml" Id="R66129d5e6cab4122" /><Relationship Type="http://schemas.openxmlformats.org/officeDocument/2006/relationships/sharedStrings" Target="/xl/sharedStrings.xml" Id="Ra0eef1d0cc5149fd" /><Relationship Type="http://schemas.openxmlformats.org/officeDocument/2006/relationships/worksheet" Target="/xl/worksheets/sheet1.xml" Id="R5669b74fb3f340ae" /><Relationship Type="http://schemas.openxmlformats.org/officeDocument/2006/relationships/worksheet" Target="/xl/worksheets/sheet2.xml" Id="R7b38526d99f34f3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1F4E78"/>
  </x:sheetPr>
  <x:sheetViews>
    <x:sheetView showGridLines="0" workbookViewId="0"/>
  </x:sheetViews>
  <x:sheetFormatPr defaultRowHeight="15"/>
  <x:cols>
    <x:col min="1" max="1" width="22" hidden="0" customWidth="1"/>
    <x:col min="2" max="2" width="48" hidden="0" customWidth="1"/>
    <x:col min="3" max="3" width="14" hidden="0" customWidth="1"/>
    <x:col min="4" max="4" width="25" hidden="0" customWidth="1"/>
    <x:col min="5" max="5" width="27" hidden="0" customWidth="1"/>
    <x:col min="6" max="6" width="14" hidden="0" customWidth="1"/>
    <x:col min="7" max="7" width="27" hidden="0" customWidth="1"/>
    <x:col min="8" max="8" width="27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 ht="28" customHeight="1">
      <x:c r="A2" s="3" t="str">
        <x:v>2026 Job Application Dashboard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</x:row>
    <x:row r="3" ht="22" customHeight="1">
      <x:c r="A3" s="4" t="str">
        <x:v>Coverage: applications with verified submission or status evidence from 2026-08-24 through 2026-09-24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</x:row>
    <x:row r="4" ht="20" customHeight="1">
      <x:c r="A4" s="5"/>
      <x:c r="B4" s="5"/>
      <x:c r="C4" s="5"/>
      <x:c r="D4" s="5"/>
      <x:c r="E4" s="5"/>
      <x:c r="F4" s="5"/>
      <x:c r="G4" s="5"/>
      <x:c r="H4" s="5"/>
      <x:c r="I4" s="2"/>
      <x:c r="J4" s="2"/>
      <x:c r="K4" s="2"/>
    </x:row>
    <x:row r="5" ht="20" customHeight="1">
      <x:c r="A5" s="2"/>
      <x:c r="B5" s="2"/>
      <x:c r="C5" s="2"/>
      <x:c r="D5" s="2"/>
      <x:c r="E5" s="2"/>
      <x:c r="F5" s="2"/>
      <x:c r="G5" s="2"/>
      <x:c r="H5" s="2"/>
      <x:c r="I5" s="2"/>
      <x:c r="J5" s="2"/>
      <x:c r="K5" s="2"/>
    </x:row>
    <x:row r="6" ht="20" customHeight="1">
      <x:c r="A6" s="13" t="str">
        <x:v>Total applications</x:v>
      </x:c>
      <x:c r="B6" s="14" t="str">
        <x:v>Submitted</x:v>
      </x:c>
      <x:c r="C6" s="14" t="str">
        <x:v>Received / reviewing</x:v>
      </x:c>
      <x:c r="D6" s="14" t="str">
        <x:v>In progress</x:v>
      </x:c>
      <x:c r="E6" s="14" t="str">
        <x:v>OA outstanding</x:v>
      </x:c>
      <x:c r="F6" s="14" t="str">
        <x:v>Rejected</x:v>
      </x:c>
      <x:c r="G6" s="14" t="str">
        <x:v>Latest submission</x:v>
      </x:c>
      <x:c r="H6" s="15" t="str">
        <x:v>Public resume links</x:v>
      </x:c>
      <x:c r="I6" s="2"/>
      <x:c r="J6" s="2"/>
      <x:c r="K6" s="2"/>
    </x:row>
    <x:row r="7" ht="20" customHeight="1">
      <x:c r="A7" s="16" t="n">
        <x:f>COUNTA(Applications!A6:A50)</x:f>
        <x:v>11</x:v>
      </x:c>
      <x:c r="B7" s="17" t="n">
        <x:f>COUNTIFS(Applications!D6:D50,"Submitted")</x:f>
        <x:v>3</x:v>
      </x:c>
      <x:c r="C7" s="17" t="n">
        <x:f>COUNTIFS(Applications!D6:D50,"Received")+COUNTIFS(Applications!D6:D50,"Received / under review")+COUNTIFS(Applications!D6:D50,"Application received / reviewing")</x:f>
        <x:v>3</x:v>
      </x:c>
      <x:c r="D7" s="17" t="n">
        <x:f>COUNTIFS(Applications!D6:D50,"In Progress")</x:f>
        <x:v>1</x:v>
      </x:c>
      <x:c r="E7" s="17" t="n">
        <x:f>COUNTIFS(Applications!D6:D50,"OA outstanding")</x:f>
        <x:v>1</x:v>
      </x:c>
      <x:c r="F7" s="17" t="n">
        <x:f>COUNTIFS(Applications!D6:D50,"Rejected")</x:f>
        <x:v>2</x:v>
      </x:c>
      <x:c r="G7" s="18" t="n">
        <x:f>MAX(Applications!C6:C50)</x:f>
        <x:v>46289</x:v>
      </x:c>
      <x:c r="H7" s="19" t="str">
        <x:v>Click Open PDF in the tracker</x:v>
      </x:c>
      <x:c r="I7" s="2"/>
      <x:c r="J7" s="2"/>
      <x:c r="K7" s="2"/>
    </x:row>
    <x:row r="8" ht="28" customHeight="1">
      <x:c r="A8" s="20" t="str">
        <x:v>Evidence combines application logs, candidate portals, confirmation emails, and user-reported outcomes. Balbec appears twice because two confirmed submission channels were recorded.</x:v>
      </x:c>
      <x:c r="B8" s="2"/>
      <x:c r="C8" s="2"/>
      <x:c r="D8" s="2"/>
      <x:c r="E8" s="2"/>
      <x:c r="F8" s="2"/>
      <x:c r="G8" s="2"/>
      <x:c r="H8" s="2"/>
      <x:c r="I8" s="2"/>
      <x:c r="J8" s="2"/>
      <x:c r="K8" s="2"/>
    </x:row>
    <x:row r="9" ht="20" customHeight="1">
      <x:c r="A9" s="2"/>
      <x:c r="B9" s="2"/>
      <x:c r="C9" s="2"/>
      <x:c r="D9" s="2"/>
      <x:c r="E9" s="2"/>
      <x:c r="F9" s="2"/>
      <x:c r="G9" s="2"/>
      <x:c r="H9" s="2"/>
      <x:c r="I9" s="2"/>
      <x:c r="J9" s="2"/>
      <x:c r="K9" s="2"/>
    </x:row>
    <x:row r="10" ht="20" customHeight="1">
      <x:c r="A10" s="34" t="str">
        <x:v>Company</x:v>
      </x:c>
      <x:c r="B10" s="35" t="str">
        <x:v>Role</x:v>
      </x:c>
      <x:c r="C10" s="35" t="str">
        <x:v>Submitted</x:v>
      </x:c>
      <x:c r="D10" s="35" t="str">
        <x:v>Current status</x:v>
      </x:c>
      <x:c r="E10" s="35" t="str">
        <x:v>Evidence</x:v>
      </x:c>
      <x:c r="F10" s="36" t="str">
        <x:v>Resume</x:v>
      </x:c>
      <x:c r="G10" s="2"/>
      <x:c r="H10" s="2"/>
      <x:c r="I10" s="2"/>
      <x:c r="J10" s="2"/>
      <x:c r="K10" s="2"/>
    </x:row>
    <x:row r="11" ht="20" customHeight="1">
      <x:c r="A11" s="37" t="str">
        <x:f>Applications!A6</x:f>
        <x:v>Arrowstreet Capital</x:v>
      </x:c>
      <x:c r="B11" s="12" t="str">
        <x:f>Applications!B6</x:f>
        <x:v>Quantitative Developer Intern, Summer 2027 (R1506)</x:v>
      </x:c>
      <x:c r="C11" s="38" t="n">
        <x:f>Applications!C6</x:f>
        <x:v>46279</x:v>
      </x:c>
      <x:c r="D11" s="12" t="str">
        <x:f>Applications!D6</x:f>
        <x:v>In Progress</x:v>
      </x:c>
      <x:c r="E11" s="12" t="str">
        <x:f>Applications!E6</x:f>
        <x:v>Official candidate home</x:v>
      </x:c>
      <x:c r="F11" s="39" t="e">
        <x:f>Applications!F6</x:f>
        <x:v>HYPERLINK is not implemented. linkLocation=https://github.com/xujingxiang19883/job-applications-dashboard-2026/blob/main/resumes/Xu.Jingxiang.Arrowstreet_Quant_Developer_Intern.pdf, friendlyName=Open PDF</x:v>
      </x:c>
      <x:c r="G11" s="2"/>
      <x:c r="H11" s="2"/>
      <x:c r="I11" s="2"/>
      <x:c r="J11" s="2"/>
      <x:c r="K11" s="2"/>
    </x:row>
    <x:row r="12" ht="20" customHeight="1">
      <x:c r="A12" s="37" t="str">
        <x:f>Applications!A7</x:f>
        <x:v>Applied Academics LLC</x:v>
      </x:c>
      <x:c r="B12" s="12" t="str">
        <x:f>Applications!B7</x:f>
        <x:v>Quantitative Analyst Intern</x:v>
      </x:c>
      <x:c r="C12" s="38" t="n">
        <x:f>Applications!C7</x:f>
        <x:v>46279</x:v>
      </x:c>
      <x:c r="D12" s="12" t="str">
        <x:f>Applications!D7</x:f>
        <x:v>Submitted</x:v>
      </x:c>
      <x:c r="E12" s="12" t="str">
        <x:f>Applications!E7</x:f>
        <x:v>Handshake confirmation</x:v>
      </x:c>
      <x:c r="F12" s="39" t="e">
        <x:f>Applications!F7</x:f>
        <x:v>HYPERLINK is not implemented. linkLocation=https://github.com/xujingxiang19883/job-applications-dashboard-2026/blob/main/resumes/Xu.Jingxiang.Applied_Academics_Analyst_Intern_JD.pdf, friendlyName=Open PDF</x:v>
      </x:c>
      <x:c r="G12" s="2"/>
      <x:c r="H12" s="2"/>
      <x:c r="I12" s="2"/>
      <x:c r="J12" s="2"/>
      <x:c r="K12" s="2"/>
    </x:row>
    <x:row r="13" ht="20" customHeight="1">
      <x:c r="A13" s="37" t="str">
        <x:f>Applications!A8</x:f>
        <x:v>IMC</x:v>
      </x:c>
      <x:c r="B13" s="12" t="str">
        <x:f>Applications!B8</x:f>
        <x:v>Quantitative Trader Intern, Summer 2027 (Chicago)</x:v>
      </x:c>
      <x:c r="C13" s="38" t="n">
        <x:f>Applications!C8</x:f>
        <x:v>46279</x:v>
      </x:c>
      <x:c r="D13" s="12" t="str">
        <x:f>Applications!D8</x:f>
        <x:v>Submitted</x:v>
      </x:c>
      <x:c r="E13" s="12" t="str">
        <x:f>Applications!E8</x:f>
        <x:v>Official confirmation page</x:v>
      </x:c>
      <x:c r="F13" s="39" t="e">
        <x:f>Applications!F8</x:f>
        <x:v>HYPERLINK is not implemented. linkLocation=https://github.com/xujingxiang19883/job-applications-dashboard-2026/blob/main/resumes/Xu.Jingxiang.IMC_Trader_Intern_JD.pdf, friendlyName=Open PDF</x:v>
      </x:c>
      <x:c r="G13" s="2"/>
      <x:c r="H13" s="2"/>
      <x:c r="I13" s="2"/>
      <x:c r="J13" s="2"/>
      <x:c r="K13" s="2"/>
    </x:row>
    <x:row r="14" ht="20" customHeight="1">
      <x:c r="A14" s="37" t="str">
        <x:f>Applications!A9</x:f>
        <x:v>Balbec Capital LP</x:v>
      </x:c>
      <x:c r="B14" s="12" t="str">
        <x:f>Applications!B9</x:f>
        <x:v>2027 Quantitative Summer Analyst</x:v>
      </x:c>
      <x:c r="C14" s="38" t="n">
        <x:f>Applications!C9</x:f>
        <x:v>46279</x:v>
      </x:c>
      <x:c r="D14" s="12" t="str">
        <x:f>Applications!D9</x:f>
        <x:v>Submitted</x:v>
      </x:c>
      <x:c r="E14" s="12" t="str">
        <x:f>Applications!E9</x:f>
        <x:v>Handshake confirmation</x:v>
      </x:c>
      <x:c r="F14" s="39" t="e">
        <x:f>Applications!F9</x:f>
        <x:v>HYPERLINK is not implemented. linkLocation=https://github.com/xujingxiang19883/job-applications-dashboard-2026/blob/main/resumes/Xu.Jingxiang.Balbec_Summer_Analyst_JD.pdf, friendlyName=Open PDF</x:v>
      </x:c>
      <x:c r="G14" s="2"/>
      <x:c r="H14" s="2"/>
      <x:c r="I14" s="2"/>
      <x:c r="J14" s="2"/>
      <x:c r="K14" s="2"/>
    </x:row>
    <x:row r="15" ht="20" customHeight="1">
      <x:c r="A15" s="37" t="str">
        <x:f>Applications!A10</x:f>
        <x:v>Walleye Capital</x:v>
      </x:c>
      <x:c r="B15" s="12" t="str">
        <x:f>Applications!B10</x:f>
        <x:v>Quantitative Developer Intern, Summer 2027</x:v>
      </x:c>
      <x:c r="C15" s="38" t="n">
        <x:f>Applications!C10</x:f>
        <x:v>46279</x:v>
      </x:c>
      <x:c r="D15" s="12" t="str">
        <x:f>Applications!D10</x:f>
        <x:v>Received / under review</x:v>
      </x:c>
      <x:c r="E15" s="12" t="str">
        <x:f>Applications!E10</x:f>
        <x:v>Official confirmation page</x:v>
      </x:c>
      <x:c r="F15" s="39" t="e">
        <x:f>Applications!F10</x:f>
        <x:v>HYPERLINK is not implemented. linkLocation=https://github.com/xujingxiang19883/job-applications-dashboard-2026/blob/main/resumes/Xu.Jingxiang.Walleye_Quantic_Developer_Intern.pdf, friendlyName=Open PDF</x:v>
      </x:c>
      <x:c r="G15" s="2"/>
      <x:c r="H15" s="2"/>
      <x:c r="I15" s="2"/>
      <x:c r="J15" s="2"/>
      <x:c r="K15" s="2"/>
    </x:row>
    <x:row r="16" ht="20" customHeight="1">
      <x:c r="A16" s="37" t="str">
        <x:f>Applications!A11</x:f>
        <x:v>Seven Research</x:v>
      </x:c>
      <x:c r="B16" s="12" t="str">
        <x:f>Applications!B11</x:f>
        <x:v>Quantitative Researcher Intern</x:v>
      </x:c>
      <x:c r="C16" s="38" t="n">
        <x:f>Applications!C11</x:f>
        <x:v>46279</x:v>
      </x:c>
      <x:c r="D16" s="12" t="str">
        <x:f>Applications!D11</x:f>
        <x:v>Received</x:v>
      </x:c>
      <x:c r="E16" s="12" t="str">
        <x:f>Applications!E11</x:f>
        <x:v>Official confirmation page</x:v>
      </x:c>
      <x:c r="F16" s="39" t="e">
        <x:f>Applications!F11</x:f>
        <x:v>HYPERLINK is not implemented. linkLocation=https://github.com/xujingxiang19883/job-applications-dashboard-2026/blob/main/resumes/Xu.Jingxiang.Seven_Research_Quant_Researcher_Intern.pdf, friendlyName=Open PDF</x:v>
      </x:c>
      <x:c r="G16" s="2"/>
      <x:c r="H16" s="2"/>
      <x:c r="I16" s="2"/>
      <x:c r="J16" s="2"/>
      <x:c r="K16" s="2"/>
    </x:row>
    <x:row r="17" ht="20" customHeight="1">
      <x:c r="A17" s="37" t="str">
        <x:f>Applications!A12</x:f>
        <x:v>Bank of America</x:v>
      </x:c>
      <x:c r="B17" s="12" t="str">
        <x:f>Applications!B12</x:f>
        <x:v>Global Quantitative Research Summer Associate Program, 2027</x:v>
      </x:c>
      <x:c r="C17" s="38" t="n">
        <x:f>Applications!C12</x:f>
        <x:v>46279</x:v>
      </x:c>
      <x:c r="D17" s="12" t="str">
        <x:f>Applications!D12</x:f>
        <x:v>OA outstanding</x:v>
      </x:c>
      <x:c r="E17" s="12" t="str">
        <x:f>Applications!E12</x:f>
        <x:v>Application Center</x:v>
      </x:c>
      <x:c r="F17" s="39" t="e">
        <x:f>Applications!F12</x:f>
        <x:v>HYPERLINK is not implemented. linkLocation=https://github.com/xujingxiang19883/job-applications-dashboard-2026/blob/main/resumes/Xu.Jingxiang.BofA_Global_Quant_Research_2027.pdf, friendlyName=Open PDF</x:v>
      </x:c>
      <x:c r="G17" s="2"/>
      <x:c r="H17" s="2"/>
      <x:c r="I17" s="2"/>
      <x:c r="J17" s="2"/>
      <x:c r="K17" s="2"/>
    </x:row>
    <x:row r="18" ht="20" customHeight="1">
      <x:c r="A18" s="37" t="str">
        <x:f>Applications!A13</x:f>
        <x:v>Fidelity Investments</x:v>
      </x:c>
      <x:c r="B18" s="12" t="str">
        <x:f>Applications!B13</x:f>
        <x:v>Quantitative Research Intern, Multi-Asset Systematic Research Team</x:v>
      </x:c>
      <x:c r="C18" s="38" t="n">
        <x:f>Applications!C13</x:f>
        <x:v>46287</x:v>
      </x:c>
      <x:c r="D18" s="12" t="str">
        <x:f>Applications!D13</x:f>
        <x:v>Rejected</x:v>
      </x:c>
      <x:c r="E18" s="12" t="str">
        <x:f>Applications!E13</x:f>
        <x:v>User-reported outcome</x:v>
      </x:c>
      <x:c r="F18" s="39" t="e">
        <x:f>Applications!F13</x:f>
        <x:v>HYPERLINK is not implemented. linkLocation=https://github.com/xujingxiang19883/job-applications-dashboard-2026/blob/main/resumes/Xu.Jingxiang.Fidelity_Multi_Asset_Systematic_Research_2027.pdf, friendlyName=Open PDF</x:v>
      </x:c>
      <x:c r="G18" s="2"/>
      <x:c r="H18" s="2"/>
      <x:c r="I18" s="2"/>
      <x:c r="J18" s="2"/>
      <x:c r="K18" s="2"/>
    </x:row>
    <x:row r="19" ht="20" customHeight="1">
      <x:c r="A19" s="37" t="str">
        <x:f>Applications!A14</x:f>
        <x:v>Fidelity Investments</x:v>
      </x:c>
      <x:c r="B19" s="12" t="str">
        <x:f>Applications!B14</x:f>
        <x:v>Quantitative Research Intern, Fixed Income Team</x:v>
      </x:c>
      <x:c r="C19" s="38" t="n">
        <x:f>Applications!C14</x:f>
        <x:v>46287</x:v>
      </x:c>
      <x:c r="D19" s="12" t="str">
        <x:f>Applications!D14</x:f>
        <x:v>Rejected</x:v>
      </x:c>
      <x:c r="E19" s="12" t="str">
        <x:f>Applications!E14</x:f>
        <x:v>User-reported outcome</x:v>
      </x:c>
      <x:c r="F19" s="39" t="e">
        <x:f>Applications!F14</x:f>
        <x:v>HYPERLINK is not implemented. linkLocation=https://github.com/xujingxiang19883/job-applications-dashboard-2026/blob/main/resumes/Xu.Jingxiang.Fidelity_Fixed_Income_Quantitative_Research_2027.pdf, friendlyName=Open PDF</x:v>
      </x:c>
      <x:c r="G19" s="2"/>
      <x:c r="H19" s="2"/>
      <x:c r="I19" s="2"/>
      <x:c r="J19" s="2"/>
      <x:c r="K19" s="2"/>
    </x:row>
    <x:row r="20" ht="20" customHeight="1">
      <x:c r="A20" s="37" t="str">
        <x:f>Applications!A15</x:f>
        <x:v>Barclays</x:v>
      </x:c>
      <x:c r="B20" s="12" t="str">
        <x:f>Applications!B15</x:f>
        <x:v>Quantitative Finance Associate Summer Internship Program, 2027 (New York)</x:v>
      </x:c>
      <x:c r="C20" s="38" t="n">
        <x:f>Applications!C15</x:f>
        <x:v>46288</x:v>
      </x:c>
      <x:c r="D20" s="12" t="str">
        <x:f>Applications!D15</x:f>
        <x:v>OA received</x:v>
      </x:c>
      <x:c r="E20" s="12" t="str">
        <x:f>Applications!E15</x:f>
        <x:v>User-reported OA</x:v>
      </x:c>
      <x:c r="F20" s="39" t="e">
        <x:f>Applications!F15</x:f>
        <x:v>HYPERLINK is not implemented. linkLocation=https://github.com/xujingxiang19883/job-applications-dashboard-2026/blob/main/resumes/Xu.Jingxiang.Barclays_Quantitative_Analytics_2027.pdf, friendlyName=Open PDF</x:v>
      </x:c>
      <x:c r="G20" s="2"/>
      <x:c r="H20" s="2"/>
      <x:c r="I20" s="2"/>
      <x:c r="J20" s="2"/>
      <x:c r="K20" s="2"/>
    </x:row>
    <x:row r="21" ht="20" customHeight="1">
      <x:c r="A21" s="40" t="str">
        <x:f>Applications!A16</x:f>
        <x:v>Balbec Capital LP</x:v>
      </x:c>
      <x:c r="B21" s="41" t="str">
        <x:f>Applications!B16</x:f>
        <x:v>2027 Quantitative Summer Analyst</x:v>
      </x:c>
      <x:c r="C21" s="42" t="n">
        <x:f>Applications!C16</x:f>
        <x:v>46289</x:v>
      </x:c>
      <x:c r="D21" s="41" t="str">
        <x:f>Applications!D16</x:f>
        <x:v>Application received / reviewing</x:v>
      </x:c>
      <x:c r="E21" s="41" t="str">
        <x:f>Applications!E16</x:f>
        <x:v>Direct-portal confirmation email</x:v>
      </x:c>
      <x:c r="F21" s="43" t="e">
        <x:f>Applications!F16</x:f>
        <x:v>HYPERLINK is not implemented. linkLocation=https://github.com/xujingxiang19883/job-applications-dashboard-2026/blob/main/resumes/Xu.Jingxiang.Balbec_Quantitative_Summer_Analyst.pdf, friendlyName=Open PDF</x:v>
      </x:c>
      <x:c r="G21" s="2"/>
      <x:c r="H21" s="2"/>
      <x:c r="I21" s="2"/>
      <x:c r="J21" s="2"/>
      <x:c r="K21" s="2"/>
    </x:row>
    <x:row r="22" ht="20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</x:row>
    <x:row r="23" ht="20" customHeight="1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</x:row>
    <x:row r="24" ht="26" customHeight="1">
      <x:c r="A24"/>
      <x:c r="B24" s="2"/>
      <x:c r="C24" s="2"/>
      <x:c r="D24" s="2"/>
      <x:c r="E24" s="2"/>
      <x:c r="F24" s="2"/>
      <x:c r="G24" s="2"/>
      <x:c r="H24" s="2"/>
      <x:c r="I24" s="2"/>
      <x:c r="J24" s="2"/>
      <x:c r="K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</x:row>
    <x:row r="26" ht="26" customHeight="1">
      <x:c r="A26" s="20" t="str">
        <x:v>Definitions: “Submitted” is a completed application. “Received / reviewing” is an employer acknowledgment. “OA outstanding” means an online assessment remains to be completed. “OA received” means the assessment invitation has been received.</x:v>
      </x:c>
      <x:c r="B26" s="2"/>
      <x:c r="C26" s="2"/>
      <x:c r="D26" s="2"/>
      <x:c r="E26" s="2"/>
      <x:c r="F26" s="2"/>
      <x:c r="G26" s="2"/>
      <x:c r="H26" s="2"/>
      <x:c r="I26" s="2"/>
      <x:c r="J26" s="2"/>
      <x:c r="K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</x:row>
  </x:sheetData>
  <x:mergeCells>
    <x:mergeCell ref="A2:H2"/>
    <x:mergeCell ref="A3:H3"/>
    <x:mergeCell ref="A8:H8"/>
    <x:mergeCell ref="A26:H26"/>
  </x:mergeCells>
  <x:conditionalFormatting sqref="D11:D21">
    <x:cfRule type="containsText" dxfId="0" priority="1" operator="containsText" text="Assessment"/>
    <x:cfRule type="containsText" dxfId="1" priority="2" operator="containsText" text="received"/>
    <x:cfRule type="containsText" dxfId="2" priority="3" operator="containsText" text="Submitted"/>
    <x:cfRule type="containsText" dxfId="3" priority="4" operator="containsText" text="OA"/>
    <x:cfRule type="containsText" dxfId="4" priority="5" operator="containsText" text="Rejected"/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5B9BD5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2" hidden="0" customWidth="1"/>
    <x:col min="2" max="2" width="54" hidden="0" customWidth="1"/>
    <x:col min="3" max="3" width="16" hidden="0" customWidth="1"/>
    <x:col min="4" max="4" width="27" hidden="0" customWidth="1"/>
    <x:col min="5" max="5" width="28" hidden="0" customWidth="1"/>
    <x:col min="6" max="6" width="14" hidden="0" customWidth="1"/>
    <x:col min="7" max="7" width="42" hidden="0" customWidth="1"/>
  </x:cols>
  <x:sheetData>
    <x:row r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</x:row>
    <x:row r="2">
      <x:c r="A2" s="9" t="str">
        <x:v>Application tracker</x:v>
      </x:c>
      <x:c r="B2" s="2"/>
      <x:c r="C2" s="2"/>
      <x:c r="D2" s="2"/>
      <x:c r="E2" s="2"/>
      <x:c r="F2" s="2"/>
      <x:c r="G2" s="2"/>
      <x:c r="H2" s="2"/>
      <x:c r="I2" s="2"/>
      <x:c r="J2" s="2"/>
      <x:c r="K2" s="2"/>
    </x:row>
    <x:row r="3">
      <x:c r="A3" s="4" t="str">
        <x:v>Each row is a verified application or employer-status record. Public PDF links are hosted in this repository.</x:v>
      </x:c>
      <x:c r="B3" s="2"/>
      <x:c r="C3" s="2"/>
      <x:c r="D3" s="2"/>
      <x:c r="E3" s="2"/>
      <x:c r="F3" s="2"/>
      <x:c r="G3" s="2"/>
      <x:c r="H3" s="2"/>
      <x:c r="I3" s="2"/>
      <x:c r="J3" s="2"/>
      <x:c r="K3" s="2"/>
    </x:row>
    <x:row r="4">
      <x:c r="A4" s="2"/>
      <x:c r="B4" s="2"/>
      <x:c r="C4" s="2"/>
      <x:c r="D4" s="2"/>
      <x:c r="E4" s="2"/>
      <x:c r="F4" s="2"/>
      <x:c r="G4" s="2"/>
      <x:c r="H4" s="2"/>
      <x:c r="I4" s="2"/>
      <x:c r="J4" s="2"/>
      <x:c r="K4" s="2"/>
    </x:row>
    <x:row r="5">
      <x:c r="A5" s="34" t="str">
        <x:v>Company</x:v>
      </x:c>
      <x:c r="B5" s="35" t="str">
        <x:v>Role</x:v>
      </x:c>
      <x:c r="C5" s="35" t="str">
        <x:v>Application date</x:v>
      </x:c>
      <x:c r="D5" s="35" t="str">
        <x:v>Current status</x:v>
      </x:c>
      <x:c r="E5" s="35" t="str">
        <x:v>Evidence</x:v>
      </x:c>
      <x:c r="F5" s="35" t="str">
        <x:v>Resume PDF</x:v>
      </x:c>
      <x:c r="G5" s="36" t="str">
        <x:v>Notes</x:v>
      </x:c>
      <x:c r="H5" s="2"/>
      <x:c r="I5" s="2"/>
      <x:c r="J5" s="2"/>
      <x:c r="K5" s="2"/>
    </x:row>
    <x:row r="6" ht="30" customHeight="1">
      <x:c r="A6" s="37" t="str">
        <x:v>Arrowstreet Capital</x:v>
      </x:c>
      <x:c r="B6" s="12" t="str">
        <x:v>Quantitative Developer Intern, Summer 2027 (R1506)</x:v>
      </x:c>
      <x:c r="C6" s="38" t="n">
        <x:v>46279</x:v>
      </x:c>
      <x:c r="D6" s="12" t="str">
        <x:v>In Progress</x:v>
      </x:c>
      <x:c r="E6" s="12" t="str">
        <x:v>Official candidate home</x:v>
      </x:c>
      <x:c r="F6" s="12" t="e">
        <x:f>HYPERLINK("https://github.com/xujingxiang19883/job-applications-dashboard-2026/blob/main/resumes/Xu.Jingxiang.Arrowstreet_Quant_Developer_Intern.pdf","Open PDF")</x:f>
        <x:v>HYPERLINK is not implemented. linkLocation=https://github.com/xujingxiang19883/job-applications-dashboard-2026/blob/main/resumes/Xu.Jingxiang.Arrowstreet_Quant_Developer_Intern.pdf, friendlyName=Open PDF</x:v>
      </x:c>
      <x:c r="G6" s="39" t="str"/>
      <x:c r="H6" s="2"/>
      <x:c r="I6" s="2"/>
      <x:c r="J6" s="2"/>
      <x:c r="K6" s="2"/>
    </x:row>
    <x:row r="7" ht="30" customHeight="1">
      <x:c r="A7" s="37" t="str">
        <x:v>Applied Academics LLC</x:v>
      </x:c>
      <x:c r="B7" s="12" t="str">
        <x:v>Quantitative Analyst Intern</x:v>
      </x:c>
      <x:c r="C7" s="38" t="n">
        <x:v>46279</x:v>
      </x:c>
      <x:c r="D7" s="12" t="str">
        <x:v>Submitted</x:v>
      </x:c>
      <x:c r="E7" s="12" t="str">
        <x:v>Handshake confirmation</x:v>
      </x:c>
      <x:c r="F7" s="12" t="e">
        <x:f>HYPERLINK("https://github.com/xujingxiang19883/job-applications-dashboard-2026/blob/main/resumes/Xu.Jingxiang.Applied_Academics_Analyst_Intern_JD.pdf","Open PDF")</x:f>
        <x:v>HYPERLINK is not implemented. linkLocation=https://github.com/xujingxiang19883/job-applications-dashboard-2026/blob/main/resumes/Xu.Jingxiang.Applied_Academics_Analyst_Intern_JD.pdf, friendlyName=Open PDF</x:v>
      </x:c>
      <x:c r="G7" s="39" t="str"/>
      <x:c r="H7" s="2"/>
      <x:c r="I7" s="2"/>
      <x:c r="J7" s="2"/>
      <x:c r="K7" s="2"/>
    </x:row>
    <x:row r="8" ht="30" customHeight="1">
      <x:c r="A8" s="37" t="str">
        <x:v>IMC</x:v>
      </x:c>
      <x:c r="B8" s="12" t="str">
        <x:v>Quantitative Trader Intern, Summer 2027 (Chicago)</x:v>
      </x:c>
      <x:c r="C8" s="38" t="n">
        <x:v>46279</x:v>
      </x:c>
      <x:c r="D8" s="12" t="str">
        <x:v>Submitted</x:v>
      </x:c>
      <x:c r="E8" s="12" t="str">
        <x:v>Official confirmation page</x:v>
      </x:c>
      <x:c r="F8" s="12" t="e">
        <x:f>HYPERLINK("https://github.com/xujingxiang19883/job-applications-dashboard-2026/blob/main/resumes/Xu.Jingxiang.IMC_Trader_Intern_JD.pdf","Open PDF")</x:f>
        <x:v>HYPERLINK is not implemented. linkLocation=https://github.com/xujingxiang19883/job-applications-dashboard-2026/blob/main/resumes/Xu.Jingxiang.IMC_Trader_Intern_JD.pdf, friendlyName=Open PDF</x:v>
      </x:c>
      <x:c r="G8" s="39" t="str"/>
      <x:c r="H8" s="2"/>
      <x:c r="I8" s="2"/>
      <x:c r="J8" s="2"/>
      <x:c r="K8" s="2"/>
    </x:row>
    <x:row r="9" ht="30" customHeight="1">
      <x:c r="A9" s="37" t="str">
        <x:v>Balbec Capital LP</x:v>
      </x:c>
      <x:c r="B9" s="12" t="str">
        <x:v>2027 Quantitative Summer Analyst</x:v>
      </x:c>
      <x:c r="C9" s="38" t="n">
        <x:v>46279</x:v>
      </x:c>
      <x:c r="D9" s="12" t="str">
        <x:v>Submitted</x:v>
      </x:c>
      <x:c r="E9" s="12" t="str">
        <x:v>Handshake confirmation</x:v>
      </x:c>
      <x:c r="F9" s="12" t="e">
        <x:f>HYPERLINK("https://github.com/xujingxiang19883/job-applications-dashboard-2026/blob/main/resumes/Xu.Jingxiang.Balbec_Summer_Analyst_JD.pdf","Open PDF")</x:f>
        <x:v>HYPERLINK is not implemented. linkLocation=https://github.com/xujingxiang19883/job-applications-dashboard-2026/blob/main/resumes/Xu.Jingxiang.Balbec_Summer_Analyst_JD.pdf, friendlyName=Open PDF</x:v>
      </x:c>
      <x:c r="G9" s="39" t="str"/>
      <x:c r="H9" s="2"/>
      <x:c r="I9" s="2"/>
      <x:c r="J9" s="2"/>
      <x:c r="K9" s="2"/>
    </x:row>
    <x:row r="10" ht="30" customHeight="1">
      <x:c r="A10" s="37" t="str">
        <x:v>Walleye Capital</x:v>
      </x:c>
      <x:c r="B10" s="12" t="str">
        <x:v>Quantitative Developer Intern, Summer 2027</x:v>
      </x:c>
      <x:c r="C10" s="38" t="n">
        <x:v>46279</x:v>
      </x:c>
      <x:c r="D10" s="12" t="str">
        <x:v>Received / under review</x:v>
      </x:c>
      <x:c r="E10" s="12" t="str">
        <x:v>Official confirmation page</x:v>
      </x:c>
      <x:c r="F10" s="12" t="e">
        <x:f>HYPERLINK("https://github.com/xujingxiang19883/job-applications-dashboard-2026/blob/main/resumes/Xu.Jingxiang.Walleye_Quantic_Developer_Intern.pdf","Open PDF")</x:f>
        <x:v>HYPERLINK is not implemented. linkLocation=https://github.com/xujingxiang19883/job-applications-dashboard-2026/blob/main/resumes/Xu.Jingxiang.Walleye_Quantic_Developer_Intern.pdf, friendlyName=Open PDF</x:v>
      </x:c>
      <x:c r="G10" s="39" t="str"/>
      <x:c r="H10" s="2"/>
      <x:c r="I10" s="2"/>
      <x:c r="J10" s="2"/>
      <x:c r="K10" s="2"/>
    </x:row>
    <x:row r="11" ht="30" customHeight="1">
      <x:c r="A11" s="37" t="str">
        <x:v>Seven Research</x:v>
      </x:c>
      <x:c r="B11" s="12" t="str">
        <x:v>Quantitative Researcher Intern</x:v>
      </x:c>
      <x:c r="C11" s="38" t="n">
        <x:v>46279</x:v>
      </x:c>
      <x:c r="D11" s="12" t="str">
        <x:v>Received</x:v>
      </x:c>
      <x:c r="E11" s="12" t="str">
        <x:v>Official confirmation page</x:v>
      </x:c>
      <x:c r="F11" s="12" t="e">
        <x:f>HYPERLINK("https://github.com/xujingxiang19883/job-applications-dashboard-2026/blob/main/resumes/Xu.Jingxiang.Seven_Research_Quant_Researcher_Intern.pdf","Open PDF")</x:f>
        <x:v>HYPERLINK is not implemented. linkLocation=https://github.com/xujingxiang19883/job-applications-dashboard-2026/blob/main/resumes/Xu.Jingxiang.Seven_Research_Quant_Researcher_Intern.pdf, friendlyName=Open PDF</x:v>
      </x:c>
      <x:c r="G11" s="39" t="str"/>
      <x:c r="H11" s="2"/>
      <x:c r="I11" s="2"/>
      <x:c r="J11" s="2"/>
      <x:c r="K11" s="2"/>
    </x:row>
    <x:row r="12" ht="30" customHeight="1">
      <x:c r="A12" s="37" t="str">
        <x:v>Bank of America</x:v>
      </x:c>
      <x:c r="B12" s="12" t="str">
        <x:v>Global Quantitative Research Summer Associate Program, 2027</x:v>
      </x:c>
      <x:c r="C12" s="38" t="n">
        <x:v>46279</x:v>
      </x:c>
      <x:c r="D12" s="12" t="str">
        <x:v>OA outstanding</x:v>
      </x:c>
      <x:c r="E12" s="12" t="str">
        <x:v>Application Center</x:v>
      </x:c>
      <x:c r="F12" s="12" t="e">
        <x:f>HYPERLINK("https://github.com/xujingxiang19883/job-applications-dashboard-2026/blob/main/resumes/Xu.Jingxiang.BofA_Global_Quant_Research_2027.pdf","Open PDF")</x:f>
        <x:v>HYPERLINK is not implemented. linkLocation=https://github.com/xujingxiang19883/job-applications-dashboard-2026/blob/main/resumes/Xu.Jingxiang.BofA_Global_Quant_Research_2027.pdf, friendlyName=Open PDF</x:v>
      </x:c>
      <x:c r="G12" s="39" t="str">
        <x:v>Application submitted; the employer's online assessment is still required.</x:v>
      </x:c>
      <x:c r="H12" s="2"/>
      <x:c r="I12" s="2"/>
      <x:c r="J12" s="2"/>
      <x:c r="K12" s="2"/>
    </x:row>
    <x:row r="13" ht="30" customHeight="1">
      <x:c r="A13" s="37" t="str">
        <x:v>Fidelity Investments</x:v>
      </x:c>
      <x:c r="B13" s="12" t="str">
        <x:v>Quantitative Research Intern, Multi-Asset Systematic Research Team</x:v>
      </x:c>
      <x:c r="C13" s="38" t="n">
        <x:v>46287</x:v>
      </x:c>
      <x:c r="D13" s="12" t="str">
        <x:v>Rejected</x:v>
      </x:c>
      <x:c r="E13" s="12" t="str">
        <x:v>User-reported outcome</x:v>
      </x:c>
      <x:c r="F13" s="12" t="e">
        <x:f>HYPERLINK("https://github.com/xujingxiang19883/job-applications-dashboard-2026/blob/main/resumes/Xu.Jingxiang.Fidelity_Multi_Asset_Systematic_Research_2027.pdf","Open PDF")</x:f>
        <x:v>HYPERLINK is not implemented. linkLocation=https://github.com/xujingxiang19883/job-applications-dashboard-2026/blob/main/resumes/Xu.Jingxiang.Fidelity_Multi_Asset_Systematic_Research_2027.pdf, friendlyName=Open PDF</x:v>
      </x:c>
      <x:c r="G13" s="39" t="str">
        <x:v>Application outcome reported as rejected.</x:v>
      </x:c>
      <x:c r="H13" s="2"/>
      <x:c r="I13" s="2"/>
      <x:c r="J13" s="2"/>
      <x:c r="K13" s="2"/>
    </x:row>
    <x:row r="14" ht="30" customHeight="1">
      <x:c r="A14" s="37" t="str">
        <x:v>Fidelity Investments</x:v>
      </x:c>
      <x:c r="B14" s="12" t="str">
        <x:v>Quantitative Research Intern, Fixed Income Team</x:v>
      </x:c>
      <x:c r="C14" s="38" t="n">
        <x:v>46287</x:v>
      </x:c>
      <x:c r="D14" s="12" t="str">
        <x:v>Rejected</x:v>
      </x:c>
      <x:c r="E14" s="12" t="str">
        <x:v>User-reported outcome</x:v>
      </x:c>
      <x:c r="F14" s="12" t="e">
        <x:f>HYPERLINK("https://github.com/xujingxiang19883/job-applications-dashboard-2026/blob/main/resumes/Xu.Jingxiang.Fidelity_Fixed_Income_Quantitative_Research_2027.pdf","Open PDF")</x:f>
        <x:v>HYPERLINK is not implemented. linkLocation=https://github.com/xujingxiang19883/job-applications-dashboard-2026/blob/main/resumes/Xu.Jingxiang.Fidelity_Fixed_Income_Quantitative_Research_2027.pdf, friendlyName=Open PDF</x:v>
      </x:c>
      <x:c r="G14" s="39" t="str">
        <x:v>Application outcome reported as rejected.</x:v>
      </x:c>
      <x:c r="H14" s="2"/>
      <x:c r="I14" s="2"/>
      <x:c r="J14" s="2"/>
      <x:c r="K14" s="2"/>
    </x:row>
    <x:row r="15" ht="30" customHeight="1">
      <x:c r="A15" s="37" t="str">
        <x:v>Barclays</x:v>
      </x:c>
      <x:c r="B15" s="12" t="str">
        <x:v>Quantitative Finance Associate Summer Internship Program, 2027 (New York)</x:v>
      </x:c>
      <x:c r="C15" s="38" t="n">
        <x:v>46288</x:v>
      </x:c>
      <x:c r="D15" s="12" t="str">
        <x:v>OA received</x:v>
      </x:c>
      <x:c r="E15" s="12" t="str">
        <x:v>User-reported OA</x:v>
      </x:c>
      <x:c r="F15" s="12" t="e">
        <x:f>HYPERLINK("https://github.com/xujingxiang19883/job-applications-dashboard-2026/blob/main/resumes/Xu.Jingxiang.Barclays_Quantitative_Analytics_2027.pdf","Open PDF")</x:f>
        <x:v>HYPERLINK is not implemented. linkLocation=https://github.com/xujingxiang19883/job-applications-dashboard-2026/blob/main/resumes/Xu.Jingxiang.Barclays_Quantitative_Analytics_2027.pdf, friendlyName=Open PDF</x:v>
      </x:c>
      <x:c r="G15" s="39" t="str">
        <x:v>Online assessment invitation received.</x:v>
      </x:c>
      <x:c r="H15" s="2"/>
      <x:c r="I15" s="2"/>
      <x:c r="J15" s="2"/>
      <x:c r="K15" s="2"/>
    </x:row>
    <x:row r="16" ht="30" customHeight="1">
      <x:c r="A16" s="40" t="str">
        <x:v>Balbec Capital LP</x:v>
      </x:c>
      <x:c r="B16" s="41" t="str">
        <x:v>2027 Quantitative Summer Analyst</x:v>
      </x:c>
      <x:c r="C16" s="42" t="n">
        <x:v>46289</x:v>
      </x:c>
      <x:c r="D16" s="41" t="str">
        <x:v>Application received / reviewing</x:v>
      </x:c>
      <x:c r="E16" s="41" t="str">
        <x:v>Direct-portal confirmation email</x:v>
      </x:c>
      <x:c r="F16" s="41" t="e">
        <x:f>HYPERLINK("https://github.com/xujingxiang19883/job-applications-dashboard-2026/blob/main/resumes/Xu.Jingxiang.Balbec_Quantitative_Summer_Analyst.pdf","Open PDF")</x:f>
        <x:v>HYPERLINK is not implemented. linkLocation=https://github.com/xujingxiang19883/job-applications-dashboard-2026/blob/main/resumes/Xu.Jingxiang.Balbec_Quantitative_Summer_Analyst.pdf, friendlyName=Open PDF</x:v>
      </x:c>
      <x:c r="G16" s="43" t="str"/>
      <x:c r="H16" s="2"/>
      <x:c r="I16" s="2"/>
      <x:c r="J16" s="2"/>
      <x:c r="K16" s="2"/>
    </x:row>
    <x:row r="17">
      <x:c r="A17" s="2"/>
      <x:c r="B17" s="2"/>
      <x:c r="C17" s="2"/>
      <x:c r="D17" s="2"/>
      <x:c r="E17" s="2"/>
      <x:c r="F17" s="2"/>
      <x:c r="G17" s="2"/>
      <x:c r="H17" s="2"/>
      <x:c r="I17" s="2"/>
      <x:c r="J17" s="2"/>
      <x:c r="K17" s="2"/>
    </x:row>
    <x:row r="18">
      <x:c r="A18" s="2"/>
      <x:c r="B18" s="2"/>
      <x:c r="C18" s="2"/>
      <x:c r="D18" s="2"/>
      <x:c r="E18" s="2"/>
      <x:c r="F18" s="2"/>
      <x:c r="G18" s="2"/>
      <x:c r="H18" s="2"/>
      <x:c r="I18" s="2"/>
      <x:c r="J18" s="2"/>
      <x:c r="K18" s="2"/>
    </x:row>
    <x:row r="19">
      <x:c r="A19" s="2"/>
      <x:c r="B19" s="2"/>
      <x:c r="C19" s="2"/>
      <x:c r="D19" s="2"/>
      <x:c r="E19" s="2"/>
      <x:c r="F19" s="2"/>
      <x:c r="G19" s="2"/>
      <x:c r="H19" s="2"/>
      <x:c r="I19" s="2"/>
      <x:c r="J19" s="2"/>
      <x:c r="K19" s="2"/>
    </x:row>
    <x:row r="20">
      <x:c r="A20" s="2"/>
      <x:c r="B20" s="2"/>
      <x:c r="C20" s="2"/>
      <x:c r="D20" s="2"/>
      <x:c r="E20" s="2"/>
      <x:c r="F20" s="2"/>
      <x:c r="G20" s="2"/>
      <x:c r="H20" s="2"/>
      <x:c r="I20" s="2"/>
      <x:c r="J20" s="2"/>
      <x:c r="K20" s="2"/>
    </x:row>
    <x:row r="21">
      <x:c r="A21" s="2"/>
      <x:c r="B21" s="2"/>
      <x:c r="C21" s="2"/>
      <x:c r="D21" s="2"/>
      <x:c r="E21" s="2"/>
      <x:c r="F21" s="2"/>
      <x:c r="G21" s="2"/>
      <x:c r="H21" s="2"/>
      <x:c r="I21" s="2"/>
      <x:c r="J21" s="2"/>
      <x:c r="K21" s="2"/>
    </x:row>
    <x:row r="22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</x:row>
    <x:row r="23">
      <x:c r="A23" s="2"/>
      <x:c r="B23" s="2"/>
      <x:c r="C23" s="2"/>
      <x:c r="D23" s="2"/>
      <x:c r="E23" s="2"/>
      <x:c r="F23" s="2"/>
      <x:c r="G23" s="2"/>
      <x:c r="H23" s="2"/>
      <x:c r="I23" s="2"/>
      <x:c r="J23" s="2"/>
      <x:c r="K23" s="2"/>
    </x:row>
    <x:row r="24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</x:row>
    <x:row r="25">
      <x:c r="A25" s="2"/>
      <x:c r="B25" s="2"/>
      <x:c r="C25" s="2"/>
      <x:c r="D25" s="2"/>
      <x:c r="E25" s="2"/>
      <x:c r="F25" s="2"/>
      <x:c r="G25" s="2"/>
      <x:c r="H25" s="2"/>
      <x:c r="I25" s="2"/>
      <x:c r="J25" s="2"/>
      <x:c r="K25" s="2"/>
    </x:row>
    <x:row r="26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</x:row>
    <x:row r="27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</x:row>
    <x:row r="28">
      <x:c r="A28" s="2"/>
      <x:c r="B28" s="2"/>
      <x:c r="C28" s="2"/>
      <x:c r="D28" s="2"/>
      <x:c r="E28" s="2"/>
      <x:c r="F28" s="2"/>
      <x:c r="G28" s="2"/>
      <x:c r="H28" s="2"/>
      <x:c r="I28" s="2"/>
      <x:c r="J28" s="2"/>
      <x:c r="K28" s="2"/>
    </x:row>
    <x:row r="29">
      <x:c r="A29" s="2"/>
      <x:c r="B29" s="2"/>
      <x:c r="C29" s="2"/>
      <x:c r="D29" s="2"/>
      <x:c r="E29" s="2"/>
      <x:c r="F29" s="2"/>
      <x:c r="G29" s="2"/>
      <x:c r="H29" s="2"/>
      <x:c r="I29" s="2"/>
      <x:c r="J29" s="2"/>
      <x:c r="K29" s="2"/>
    </x:row>
    <x:row r="30">
      <x:c r="A30" s="2"/>
      <x:c r="B30" s="2"/>
      <x:c r="C30" s="2"/>
      <x:c r="D30" s="2"/>
      <x:c r="E30" s="2"/>
      <x:c r="F30" s="2"/>
      <x:c r="G30" s="2"/>
      <x:c r="H30" s="2"/>
      <x:c r="I30" s="2"/>
      <x:c r="J30" s="2"/>
      <x:c r="K30" s="2"/>
    </x:row>
    <x:row r="31">
      <x:c r="A31" s="2"/>
      <x:c r="B31" s="2"/>
      <x:c r="C31" s="2"/>
      <x:c r="D31" s="2"/>
      <x:c r="E31" s="2"/>
      <x:c r="F31" s="2"/>
      <x:c r="G31" s="2"/>
      <x:c r="H31" s="2"/>
      <x:c r="I31" s="2"/>
      <x:c r="J31" s="2"/>
      <x:c r="K31" s="2"/>
    </x:row>
    <x:row r="32">
      <x:c r="A32" s="2"/>
      <x:c r="B32" s="2"/>
      <x:c r="C32" s="2"/>
      <x:c r="D32" s="2"/>
      <x:c r="E32" s="2"/>
      <x:c r="F32" s="2"/>
      <x:c r="G32" s="2"/>
      <x:c r="H32" s="2"/>
      <x:c r="I32" s="2"/>
      <x:c r="J32" s="2"/>
      <x:c r="K32" s="2"/>
    </x:row>
    <x:row r="33">
      <x:c r="A33" s="2"/>
      <x:c r="B33" s="2"/>
      <x:c r="C33" s="2"/>
      <x:c r="D33" s="2"/>
      <x:c r="E33" s="2"/>
      <x:c r="F33" s="2"/>
      <x:c r="G33" s="2"/>
      <x:c r="H33" s="2"/>
      <x:c r="I33" s="2"/>
      <x:c r="J33" s="2"/>
      <x:c r="K33" s="2"/>
    </x:row>
    <x:row r="34">
      <x:c r="A34" s="2"/>
      <x:c r="B34" s="2"/>
      <x:c r="C34" s="2"/>
      <x:c r="D34" s="2"/>
      <x:c r="E34" s="2"/>
      <x:c r="F34" s="2"/>
      <x:c r="G34" s="2"/>
      <x:c r="H34" s="2"/>
      <x:c r="I34" s="2"/>
      <x:c r="J34" s="2"/>
      <x:c r="K34" s="2"/>
    </x:row>
    <x:row r="35">
      <x:c r="A35" s="2"/>
      <x:c r="B35" s="2"/>
      <x:c r="C35" s="2"/>
      <x:c r="D35" s="2"/>
      <x:c r="E35" s="2"/>
      <x:c r="F35" s="2"/>
      <x:c r="G35" s="2"/>
      <x:c r="H35" s="2"/>
      <x:c r="I35" s="2"/>
      <x:c r="J35" s="2"/>
      <x:c r="K35" s="2"/>
    </x:row>
    <x:row r="36">
      <x:c r="A36" s="2"/>
      <x:c r="B36" s="2"/>
      <x:c r="C36" s="2"/>
      <x:c r="D36" s="2"/>
      <x:c r="E36" s="2"/>
      <x:c r="F36" s="2"/>
      <x:c r="G36" s="2"/>
      <x:c r="H36" s="2"/>
      <x:c r="I36" s="2"/>
      <x:c r="J36" s="2"/>
      <x:c r="K36" s="2"/>
    </x:row>
    <x:row r="37">
      <x:c r="A37" s="2"/>
      <x:c r="B37" s="2"/>
      <x:c r="C37" s="2"/>
      <x:c r="D37" s="2"/>
      <x:c r="E37" s="2"/>
      <x:c r="F37" s="2"/>
      <x:c r="G37" s="2"/>
      <x:c r="H37" s="2"/>
      <x:c r="I37" s="2"/>
      <x:c r="J37" s="2"/>
      <x:c r="K37" s="2"/>
    </x:row>
    <x:row r="38">
      <x:c r="A38" s="2"/>
      <x:c r="B38" s="2"/>
      <x:c r="C38" s="2"/>
      <x:c r="D38" s="2"/>
      <x:c r="E38" s="2"/>
      <x:c r="F38" s="2"/>
      <x:c r="G38" s="2"/>
      <x:c r="H38" s="2"/>
      <x:c r="I38" s="2"/>
      <x:c r="J38" s="2"/>
      <x:c r="K38" s="2"/>
    </x:row>
    <x:row r="39">
      <x:c r="A39" s="2"/>
      <x:c r="B39" s="2"/>
      <x:c r="C39" s="2"/>
      <x:c r="D39" s="2"/>
      <x:c r="E39" s="2"/>
      <x:c r="F39" s="2"/>
      <x:c r="G39" s="2"/>
      <x:c r="H39" s="2"/>
      <x:c r="I39" s="2"/>
      <x:c r="J39" s="2"/>
      <x:c r="K39" s="2"/>
    </x:row>
    <x:row r="40">
      <x:c r="A40" s="2"/>
      <x:c r="B40" s="2"/>
      <x:c r="C40" s="2"/>
      <x:c r="D40" s="2"/>
      <x:c r="E40" s="2"/>
      <x:c r="F40" s="2"/>
      <x:c r="G40" s="2"/>
      <x:c r="H40" s="2"/>
      <x:c r="I40" s="2"/>
      <x:c r="J40" s="2"/>
      <x:c r="K40" s="2"/>
    </x:row>
    <x:row r="41">
      <x:c r="A41" s="2"/>
      <x:c r="B41" s="2"/>
      <x:c r="C41" s="2"/>
      <x:c r="D41" s="2"/>
      <x:c r="E41" s="2"/>
      <x:c r="F41" s="2"/>
      <x:c r="G41" s="2"/>
      <x:c r="H41" s="2"/>
      <x:c r="I41" s="2"/>
      <x:c r="J41" s="2"/>
      <x:c r="K41" s="2"/>
    </x:row>
    <x:row r="42">
      <x:c r="A42" s="2"/>
      <x:c r="B42" s="2"/>
      <x:c r="C42" s="2"/>
      <x:c r="D42" s="2"/>
      <x:c r="E42" s="2"/>
      <x:c r="F42" s="2"/>
      <x:c r="G42" s="2"/>
      <x:c r="H42" s="2"/>
      <x:c r="I42" s="2"/>
      <x:c r="J42" s="2"/>
      <x:c r="K42" s="2"/>
    </x:row>
    <x:row r="43">
      <x:c r="A43" s="2"/>
      <x:c r="B43" s="2"/>
      <x:c r="C43" s="2"/>
      <x:c r="D43" s="2"/>
      <x:c r="E43" s="2"/>
      <x:c r="F43" s="2"/>
      <x:c r="G43" s="2"/>
      <x:c r="H43" s="2"/>
      <x:c r="I43" s="2"/>
      <x:c r="J43" s="2"/>
      <x:c r="K43" s="2"/>
    </x:row>
    <x:row r="44">
      <x:c r="A44" s="2"/>
      <x:c r="B44" s="2"/>
      <x:c r="C44" s="2"/>
      <x:c r="D44" s="2"/>
      <x:c r="E44" s="2"/>
      <x:c r="F44" s="2"/>
      <x:c r="G44" s="2"/>
      <x:c r="H44" s="2"/>
      <x:c r="I44" s="2"/>
      <x:c r="J44" s="2"/>
      <x:c r="K44" s="2"/>
    </x:row>
    <x:row r="45">
      <x:c r="A45" s="2"/>
      <x:c r="B45" s="2"/>
      <x:c r="C45" s="2"/>
      <x:c r="D45" s="2"/>
      <x:c r="E45" s="2"/>
      <x:c r="F45" s="2"/>
      <x:c r="G45" s="2"/>
      <x:c r="H45" s="2"/>
      <x:c r="I45" s="2"/>
      <x:c r="J45" s="2"/>
      <x:c r="K45" s="2"/>
    </x:row>
    <x:row r="46">
      <x:c r="A46" s="2"/>
      <x:c r="B46" s="2"/>
      <x:c r="C46" s="2"/>
      <x:c r="D46" s="2"/>
      <x:c r="E46" s="2"/>
      <x:c r="F46" s="2"/>
      <x:c r="G46" s="2"/>
      <x:c r="H46" s="2"/>
      <x:c r="I46" s="2"/>
      <x:c r="J46" s="2"/>
      <x:c r="K46" s="2"/>
    </x:row>
    <x:row r="47">
      <x:c r="A47" s="2"/>
      <x:c r="B47" s="2"/>
      <x:c r="C47" s="2"/>
      <x:c r="D47" s="2"/>
      <x:c r="E47" s="2"/>
      <x:c r="F47" s="2"/>
      <x:c r="G47" s="2"/>
      <x:c r="H47" s="2"/>
      <x:c r="I47" s="2"/>
      <x:c r="J47" s="2"/>
      <x:c r="K47" s="2"/>
    </x:row>
    <x:row r="48">
      <x:c r="A48" s="2"/>
      <x:c r="B48" s="2"/>
      <x:c r="C48" s="2"/>
      <x:c r="D48" s="2"/>
      <x:c r="E48" s="2"/>
      <x:c r="F48" s="2"/>
      <x:c r="G48" s="2"/>
      <x:c r="H48" s="2"/>
      <x:c r="I48" s="2"/>
      <x:c r="J48" s="2"/>
      <x:c r="K48" s="2"/>
    </x:row>
    <x:row r="49">
      <x:c r="A49" s="2"/>
      <x:c r="B49" s="2"/>
      <x:c r="C49" s="2"/>
      <x:c r="D49" s="2"/>
      <x:c r="E49" s="2"/>
      <x:c r="F49" s="2"/>
      <x:c r="G49" s="2"/>
      <x:c r="H49" s="2"/>
      <x:c r="I49" s="2"/>
      <x:c r="J49" s="2"/>
      <x:c r="K49" s="2"/>
    </x:row>
    <x:row r="50">
      <x:c r="A50" s="2"/>
      <x:c r="B50" s="2"/>
      <x:c r="C50" s="2"/>
      <x:c r="D50" s="2"/>
      <x:c r="E50" s="2"/>
      <x:c r="F50" s="2"/>
      <x:c r="G50" s="2"/>
      <x:c r="H50" s="2"/>
      <x:c r="I50" s="2"/>
      <x:c r="J50" s="2"/>
      <x:c r="K50" s="2"/>
    </x:row>
    <x:row r="51">
      <x:c r="A51" s="2"/>
      <x:c r="B51" s="2"/>
      <x:c r="C51" s="2"/>
      <x:c r="D51" s="2"/>
      <x:c r="E51" s="2"/>
      <x:c r="F51" s="2"/>
      <x:c r="G51" s="2"/>
      <x:c r="H51" s="2"/>
      <x:c r="I51" s="2"/>
      <x:c r="J51" s="2"/>
      <x:c r="K51" s="2"/>
    </x:row>
    <x:row r="52">
      <x:c r="A52" s="2"/>
      <x:c r="B52" s="2"/>
      <x:c r="C52" s="2"/>
      <x:c r="D52" s="2"/>
      <x:c r="E52" s="2"/>
      <x:c r="F52" s="2"/>
      <x:c r="G52" s="2"/>
      <x:c r="H52" s="2"/>
      <x:c r="I52" s="2"/>
      <x:c r="J52" s="2"/>
      <x:c r="K52" s="2"/>
    </x:row>
    <x:row r="53">
      <x:c r="A53" s="2"/>
      <x:c r="B53" s="2"/>
      <x:c r="C53" s="2"/>
      <x:c r="D53" s="2"/>
      <x:c r="E53" s="2"/>
      <x:c r="F53" s="2"/>
      <x:c r="G53" s="2"/>
      <x:c r="H53" s="2"/>
      <x:c r="I53" s="2"/>
      <x:c r="J53" s="2"/>
      <x:c r="K53" s="2"/>
    </x:row>
    <x:row r="54">
      <x:c r="A54" s="2"/>
      <x:c r="B54" s="2"/>
      <x:c r="C54" s="2"/>
      <x:c r="D54" s="2"/>
      <x:c r="E54" s="2"/>
      <x:c r="F54" s="2"/>
      <x:c r="G54" s="2"/>
      <x:c r="H54" s="2"/>
      <x:c r="I54" s="2"/>
      <x:c r="J54" s="2"/>
      <x:c r="K54" s="2"/>
    </x:row>
    <x:row r="55">
      <x:c r="A55" s="2"/>
      <x:c r="B55" s="2"/>
      <x:c r="C55" s="2"/>
      <x:c r="D55" s="2"/>
      <x:c r="E55" s="2"/>
      <x:c r="F55" s="2"/>
      <x:c r="G55" s="2"/>
      <x:c r="H55" s="2"/>
      <x:c r="I55" s="2"/>
      <x:c r="J55" s="2"/>
      <x:c r="K55" s="2"/>
    </x:row>
    <x:row r="56">
      <x:c r="A56" s="2"/>
      <x:c r="B56" s="2"/>
      <x:c r="C56" s="2"/>
      <x:c r="D56" s="2"/>
      <x:c r="E56" s="2"/>
      <x:c r="F56" s="2"/>
      <x:c r="G56" s="2"/>
      <x:c r="H56" s="2"/>
      <x:c r="I56" s="2"/>
      <x:c r="J56" s="2"/>
      <x:c r="K56" s="2"/>
    </x:row>
    <x:row r="57">
      <x:c r="A57" s="2"/>
      <x:c r="B57" s="2"/>
      <x:c r="C57" s="2"/>
      <x:c r="D57" s="2"/>
      <x:c r="E57" s="2"/>
      <x:c r="F57" s="2"/>
      <x:c r="G57" s="2"/>
      <x:c r="H57" s="2"/>
      <x:c r="I57" s="2"/>
      <x:c r="J57" s="2"/>
      <x:c r="K57" s="2"/>
    </x:row>
    <x:row r="58">
      <x:c r="A58" s="2"/>
      <x:c r="B58" s="2"/>
      <x:c r="C58" s="2"/>
      <x:c r="D58" s="2"/>
      <x:c r="E58" s="2"/>
      <x:c r="F58" s="2"/>
      <x:c r="G58" s="2"/>
      <x:c r="H58" s="2"/>
      <x:c r="I58" s="2"/>
      <x:c r="J58" s="2"/>
      <x:c r="K58" s="2"/>
    </x:row>
    <x:row r="59">
      <x:c r="A59" s="2"/>
      <x:c r="B59" s="2"/>
      <x:c r="C59" s="2"/>
      <x:c r="D59" s="2"/>
      <x:c r="E59" s="2"/>
      <x:c r="F59" s="2"/>
      <x:c r="G59" s="2"/>
      <x:c r="H59" s="2"/>
      <x:c r="I59" s="2"/>
      <x:c r="J59" s="2"/>
      <x:c r="K59" s="2"/>
    </x:row>
    <x:row r="60">
      <x:c r="A60" s="2"/>
      <x:c r="B60" s="2"/>
      <x:c r="C60" s="2"/>
      <x:c r="D60" s="2"/>
      <x:c r="E60" s="2"/>
      <x:c r="F60" s="2"/>
      <x:c r="G60" s="2"/>
      <x:c r="H60" s="2"/>
      <x:c r="I60" s="2"/>
      <x:c r="J60" s="2"/>
      <x:c r="K60" s="2"/>
    </x:row>
    <x:row r="61">
      <x:c r="A61" s="2"/>
      <x:c r="B61" s="2"/>
      <x:c r="C61" s="2"/>
      <x:c r="D61" s="2"/>
      <x:c r="E61" s="2"/>
      <x:c r="F61" s="2"/>
      <x:c r="G61" s="2"/>
      <x:c r="H61" s="2"/>
      <x:c r="I61" s="2"/>
      <x:c r="J61" s="2"/>
      <x:c r="K61" s="2"/>
    </x:row>
    <x:row r="62">
      <x:c r="A62" s="2"/>
      <x:c r="B62" s="2"/>
      <x:c r="C62" s="2"/>
      <x:c r="D62" s="2"/>
      <x:c r="E62" s="2"/>
      <x:c r="F62" s="2"/>
      <x:c r="G62" s="2"/>
      <x:c r="H62" s="2"/>
      <x:c r="I62" s="2"/>
      <x:c r="J62" s="2"/>
      <x:c r="K62" s="2"/>
    </x:row>
    <x:row r="63">
      <x:c r="A63" s="2"/>
      <x:c r="B63" s="2"/>
      <x:c r="C63" s="2"/>
      <x:c r="D63" s="2"/>
      <x:c r="E63" s="2"/>
      <x:c r="F63" s="2"/>
      <x:c r="G63" s="2"/>
      <x:c r="H63" s="2"/>
      <x:c r="I63" s="2"/>
      <x:c r="J63" s="2"/>
      <x:c r="K63" s="2"/>
    </x:row>
    <x:row r="64">
      <x:c r="A64" s="2"/>
      <x:c r="B64" s="2"/>
      <x:c r="C64" s="2"/>
      <x:c r="D64" s="2"/>
      <x:c r="E64" s="2"/>
      <x:c r="F64" s="2"/>
      <x:c r="G64" s="2"/>
      <x:c r="H64" s="2"/>
      <x:c r="I64" s="2"/>
      <x:c r="J64" s="2"/>
      <x:c r="K64" s="2"/>
    </x:row>
    <x:row r="65">
      <x:c r="A65" s="2"/>
      <x:c r="B65" s="2"/>
      <x:c r="C65" s="2"/>
      <x:c r="D65" s="2"/>
      <x:c r="E65" s="2"/>
      <x:c r="F65" s="2"/>
      <x:c r="G65" s="2"/>
      <x:c r="H65" s="2"/>
      <x:c r="I65" s="2"/>
      <x:c r="J65" s="2"/>
      <x:c r="K65" s="2"/>
    </x:row>
    <x:row r="66">
      <x:c r="A66" s="2"/>
      <x:c r="B66" s="2"/>
      <x:c r="C66" s="2"/>
      <x:c r="D66" s="2"/>
      <x:c r="E66" s="2"/>
      <x:c r="F66" s="2"/>
      <x:c r="G66" s="2"/>
      <x:c r="H66" s="2"/>
      <x:c r="I66" s="2"/>
      <x:c r="J66" s="2"/>
      <x:c r="K66" s="2"/>
    </x:row>
    <x:row r="67">
      <x:c r="A67" s="2"/>
      <x:c r="B67" s="2"/>
      <x:c r="C67" s="2"/>
      <x:c r="D67" s="2"/>
      <x:c r="E67" s="2"/>
      <x:c r="F67" s="2"/>
      <x:c r="G67" s="2"/>
      <x:c r="H67" s="2"/>
      <x:c r="I67" s="2"/>
      <x:c r="J67" s="2"/>
      <x:c r="K67" s="2"/>
    </x:row>
    <x:row r="68">
      <x:c r="A68" s="2"/>
      <x:c r="B68" s="2"/>
      <x:c r="C68" s="2"/>
      <x:c r="D68" s="2"/>
      <x:c r="E68" s="2"/>
      <x:c r="F68" s="2"/>
      <x:c r="G68" s="2"/>
      <x:c r="H68" s="2"/>
      <x:c r="I68" s="2"/>
      <x:c r="J68" s="2"/>
      <x:c r="K68" s="2"/>
    </x:row>
    <x:row r="69">
      <x:c r="A69" s="2"/>
      <x:c r="B69" s="2"/>
      <x:c r="C69" s="2"/>
      <x:c r="D69" s="2"/>
      <x:c r="E69" s="2"/>
      <x:c r="F69" s="2"/>
      <x:c r="G69" s="2"/>
      <x:c r="H69" s="2"/>
      <x:c r="I69" s="2"/>
      <x:c r="J69" s="2"/>
      <x:c r="K69" s="2"/>
    </x:row>
    <x:row r="70">
      <x:c r="A70" s="2"/>
      <x:c r="B70" s="2"/>
      <x:c r="C70" s="2"/>
      <x:c r="D70" s="2"/>
      <x:c r="E70" s="2"/>
      <x:c r="F70" s="2"/>
      <x:c r="G70" s="2"/>
      <x:c r="H70" s="2"/>
      <x:c r="I70" s="2"/>
      <x:c r="J70" s="2"/>
      <x:c r="K70" s="2"/>
    </x:row>
    <x:row r="71">
      <x:c r="A71" s="2"/>
      <x:c r="B71" s="2"/>
      <x:c r="C71" s="2"/>
      <x:c r="D71" s="2"/>
      <x:c r="E71" s="2"/>
      <x:c r="F71" s="2"/>
      <x:c r="G71" s="2"/>
      <x:c r="H71" s="2"/>
      <x:c r="I71" s="2"/>
      <x:c r="J71" s="2"/>
      <x:c r="K71" s="2"/>
    </x:row>
    <x:row r="72">
      <x:c r="A72" s="2"/>
      <x:c r="B72" s="2"/>
      <x:c r="C72" s="2"/>
      <x:c r="D72" s="2"/>
      <x:c r="E72" s="2"/>
      <x:c r="F72" s="2"/>
      <x:c r="G72" s="2"/>
      <x:c r="H72" s="2"/>
      <x:c r="I72" s="2"/>
      <x:c r="J72" s="2"/>
      <x:c r="K72" s="2"/>
    </x:row>
    <x:row r="73">
      <x:c r="A73" s="2"/>
      <x:c r="B73" s="2"/>
      <x:c r="C73" s="2"/>
      <x:c r="D73" s="2"/>
      <x:c r="E73" s="2"/>
      <x:c r="F73" s="2"/>
      <x:c r="G73" s="2"/>
      <x:c r="H73" s="2"/>
      <x:c r="I73" s="2"/>
      <x:c r="J73" s="2"/>
      <x:c r="K73" s="2"/>
    </x:row>
    <x:row r="74">
      <x:c r="A74" s="2"/>
      <x:c r="B74" s="2"/>
      <x:c r="C74" s="2"/>
      <x:c r="D74" s="2"/>
      <x:c r="E74" s="2"/>
      <x:c r="F74" s="2"/>
      <x:c r="G74" s="2"/>
      <x:c r="H74" s="2"/>
      <x:c r="I74" s="2"/>
      <x:c r="J74" s="2"/>
      <x:c r="K74" s="2"/>
    </x:row>
    <x:row r="75">
      <x:c r="A75" s="2"/>
      <x:c r="B75" s="2"/>
      <x:c r="C75" s="2"/>
      <x:c r="D75" s="2"/>
      <x:c r="E75" s="2"/>
      <x:c r="F75" s="2"/>
      <x:c r="G75" s="2"/>
      <x:c r="H75" s="2"/>
      <x:c r="I75" s="2"/>
      <x:c r="J75" s="2"/>
      <x:c r="K75" s="2"/>
    </x:row>
    <x:row r="76">
      <x:c r="A76" s="2"/>
      <x:c r="B76" s="2"/>
      <x:c r="C76" s="2"/>
      <x:c r="D76" s="2"/>
      <x:c r="E76" s="2"/>
      <x:c r="F76" s="2"/>
      <x:c r="G76" s="2"/>
      <x:c r="H76" s="2"/>
      <x:c r="I76" s="2"/>
      <x:c r="J76" s="2"/>
      <x:c r="K76" s="2"/>
    </x:row>
    <x:row r="77">
      <x:c r="A77" s="2"/>
      <x:c r="B77" s="2"/>
      <x:c r="C77" s="2"/>
      <x:c r="D77" s="2"/>
      <x:c r="E77" s="2"/>
      <x:c r="F77" s="2"/>
      <x:c r="G77" s="2"/>
      <x:c r="H77" s="2"/>
      <x:c r="I77" s="2"/>
      <x:c r="J77" s="2"/>
      <x:c r="K77" s="2"/>
    </x:row>
    <x:row r="78">
      <x:c r="A78" s="2"/>
      <x:c r="B78" s="2"/>
      <x:c r="C78" s="2"/>
      <x:c r="D78" s="2"/>
      <x:c r="E78" s="2"/>
      <x:c r="F78" s="2"/>
      <x:c r="G78" s="2"/>
      <x:c r="H78" s="2"/>
      <x:c r="I78" s="2"/>
      <x:c r="J78" s="2"/>
      <x:c r="K78" s="2"/>
    </x:row>
    <x:row r="79">
      <x:c r="A79" s="2"/>
      <x:c r="B79" s="2"/>
      <x:c r="C79" s="2"/>
      <x:c r="D79" s="2"/>
      <x:c r="E79" s="2"/>
      <x:c r="F79" s="2"/>
      <x:c r="G79" s="2"/>
      <x:c r="H79" s="2"/>
      <x:c r="I79" s="2"/>
      <x:c r="J79" s="2"/>
      <x:c r="K79" s="2"/>
    </x:row>
    <x:row r="80">
      <x:c r="A80" s="2"/>
      <x:c r="B80" s="2"/>
      <x:c r="C80" s="2"/>
      <x:c r="D80" s="2"/>
      <x:c r="E80" s="2"/>
      <x:c r="F80" s="2"/>
      <x:c r="G80" s="2"/>
      <x:c r="H80" s="2"/>
      <x:c r="I80" s="2"/>
      <x:c r="J80" s="2"/>
      <x:c r="K80" s="2"/>
    </x:row>
  </x:sheetData>
  <x:mergeCells>
    <x:mergeCell ref="A2:G2"/>
    <x:mergeCell ref="A3:G3"/>
  </x:mergeCells>
  <x:conditionalFormatting sqref="D6:D16">
    <x:cfRule type="containsText" dxfId="5" priority="1" operator="containsText" text="Assessment"/>
    <x:cfRule type="containsText" dxfId="6" priority="2" operator="containsText" text="received"/>
    <x:cfRule type="containsText" dxfId="7" priority="3" operator="containsText" text="Submitted"/>
    <x:cfRule type="containsText" dxfId="8" priority="4" operator="containsText" text="OA"/>
    <x:cfRule type="containsText" dxfId="9" priority="5" operator="containsText" text="Rejected"/>
  </x:conditionalFormatting>
  <x:pageMargins left="0.7" right="0.7" top="0.75" bottom="0.75" header="0.3" footer="0.3"/>
</x:worksheet>
</file>