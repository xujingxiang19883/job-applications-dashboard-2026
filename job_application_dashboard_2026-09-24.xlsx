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07c6db31f84f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903976fe1ef49d5"/>
    <x:sheet xmlns:r="http://schemas.openxmlformats.org/officeDocument/2006/relationships" name="Applications" sheetId="2" r:id="Ra13a897747bd45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0"/>
      <x:color rgb="FF1F2937"/>
      <x:name val="Arial"/>
    </x:font>
    <x:font>
      <x:b/>
      <x:sz val="16"/>
      <x:color rgb="FF17365D"/>
      <x:name val="Arial"/>
    </x:font>
    <x:font>
      <x:i/>
      <x:sz val="10"/>
      <x:color rgb="FF5B6573"/>
      <x:name val="Arial"/>
    </x:font>
    <x:font>
      <x:b/>
      <x:sz val="10"/>
      <x:color rgb="FF17365D"/>
      <x:name val="Arial"/>
    </x:font>
    <x:font>
      <x:b/>
      <x:sz val="14"/>
      <x:color rgb="FF17365D"/>
      <x:name val="Arial"/>
    </x:font>
    <x:font>
      <x:i/>
      <x:sz val="9"/>
      <x:color rgb="FF5B657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CE6F1"/>
      </x:patternFill>
    </x:fill>
    <x:fill>
      <x:patternFill patternType="solid">
        <x:fgColor rgb="FF1F4E78"/>
      </x:patternFill>
    </x:fill>
  </x:fills>
  <x:borders count="15">
    <x:border/>
    <x:border>
      <x:bottom style="thin">
        <x:color rgb="FF9CA3AF"/>
      </x:bottom>
    </x:border>
    <x:border>
      <x:left style="thin">
        <x:color rgb="FF9CA3AF"/>
      </x:left>
      <x:top style="thin">
        <x:color rgb="FF9CA3AF"/>
      </x:top>
    </x:border>
    <x:border>
      <x:top style="thin">
        <x:color rgb="FF9CA3AF"/>
      </x:top>
    </x:border>
    <x:border>
      <x:right style="thin">
        <x:color rgb="FF9CA3AF"/>
      </x:right>
      <x:top style="thin">
        <x:color rgb="FF9CA3AF"/>
      </x:top>
    </x:border>
    <x:border>
      <x:left style="thin">
        <x:color rgb="FF9CA3AF"/>
      </x:left>
      <x:bottom style="thin">
        <x:color rgb="FF9CA3AF"/>
      </x:bottom>
    </x:border>
    <x:border>
      <x:right style="thin">
        <x:color rgb="FF9CA3AF"/>
      </x:right>
      <x:bottom style="thin">
        <x:color rgb="FF9CA3AF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horizontal="center" vertical="center"/>
    </x:xf>
    <x:xf numFmtId="200" fontId="5" fillId="0" borderId="6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7" fillId="3" borderId="7" xfId="0" applyNumberFormat="1" applyFont="1" applyFill="1" applyBorder="1" applyAlignment="1">
      <x:alignment horizontal="center" vertical="center"/>
    </x:xf>
    <x:xf numFmtId="0" fontId="7" fillId="3" borderId="8" xfId="0" applyNumberFormat="1" applyFont="1" applyFill="1" applyBorder="1" applyAlignment="1">
      <x:alignment horizontal="center" vertical="center"/>
    </x:xf>
    <x:xf numFmtId="0" fontId="7" fillId="3" borderId="9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20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20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9C2F00"/>
      </x:font>
      <x:fill>
        <x:patternFill patternType="solid">
          <x:bgColor rgb="FFFDE9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2F00"/>
      </x:font>
      <x:fill>
        <x:patternFill patternType="solid">
          <x:bgColor rgb="FFFCE4D6"/>
        </x:patternFill>
      </x:fill>
    </x:dxf>
    <x:dxf>
      <x:font>
        <x:b/>
        <x:color rgb="FF9C2F00"/>
      </x:font>
      <x:fill>
        <x:patternFill patternType="solid">
          <x:bgColor rgb="FFFDE9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2F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b9eb0e33ba4013" /><Relationship Type="http://schemas.openxmlformats.org/officeDocument/2006/relationships/theme" Target="/xl/theme/theme1.xml" Id="R26d192e66d4e482a" /><Relationship Type="http://schemas.openxmlformats.org/officeDocument/2006/relationships/sharedStrings" Target="/xl/sharedStrings.xml" Id="R76799d3be9f74fba" /><Relationship Type="http://schemas.openxmlformats.org/officeDocument/2006/relationships/worksheet" Target="/xl/worksheets/sheet1.xml" Id="R7903976fe1ef49d5" /><Relationship Type="http://schemas.openxmlformats.org/officeDocument/2006/relationships/worksheet" Target="/xl/worksheets/sheet2.xml" Id="Ra13a897747bd45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4" hidden="0" customWidth="1"/>
    <x:col min="4" max="4" width="25" hidden="0" customWidth="1"/>
    <x:col min="5" max="5" width="27" hidden="0" customWidth="1"/>
    <x:col min="6" max="6" width="14" hidden="0" customWidth="1"/>
    <x:col min="7" max="7" width="27" hidden="0" customWidth="1"/>
    <x:col min="8" max="8" width="2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8" customHeight="1">
      <x:c r="A2" s="3" t="str">
        <x:v>2026 Job Application Dashboard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4" t="str">
        <x:v>Coverage: applications with verified submission or status evidence from 2026-08-24 through 2026-09-24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0" customHeight="1">
      <x:c r="A4" s="5"/>
      <x:c r="B4" s="5"/>
      <x:c r="C4" s="5"/>
      <x:c r="D4" s="5"/>
      <x:c r="E4" s="5"/>
      <x:c r="F4" s="5"/>
      <x:c r="G4" s="5"/>
      <x:c r="H4" s="5"/>
      <x:c r="I4" s="2"/>
      <x:c r="J4" s="2"/>
      <x:c r="K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0" customHeight="1">
      <x:c r="A6" s="12" t="str">
        <x:v>Total applications</x:v>
      </x:c>
      <x:c r="B6" s="13" t="str">
        <x:v>Submitted</x:v>
      </x:c>
      <x:c r="C6" s="13" t="str">
        <x:v>Received / reviewing</x:v>
      </x:c>
      <x:c r="D6" s="13" t="str">
        <x:v>OA received</x:v>
      </x:c>
      <x:c r="E6" s="13" t="str">
        <x:v>OA outstanding</x:v>
      </x:c>
      <x:c r="F6" s="13" t="str">
        <x:v>Rejected</x:v>
      </x:c>
      <x:c r="G6" s="13" t="str">
        <x:v>In progress</x:v>
      </x:c>
      <x:c r="H6" s="14" t="str">
        <x:v>Latest submission</x:v>
      </x:c>
      <x:c r="I6" s="2"/>
      <x:c r="J6" s="2"/>
      <x:c r="K6" s="2"/>
    </x:row>
    <x:row r="7" ht="20" customHeight="1">
      <x:c r="A7" s="15" t="n">
        <x:f>COUNTA(Applications!A6:A50)</x:f>
        <x:v>18</x:v>
      </x:c>
      <x:c r="B7" s="16" t="n">
        <x:f>COUNTIFS(Applications!D6:D50,"Submitted")</x:f>
        <x:v>2</x:v>
      </x:c>
      <x:c r="C7" s="16" t="n">
        <x:f>COUNTIFS(Applications!D6:D50,"Received")+COUNTIFS(Applications!D6:D50,"Received / under review")+COUNTIFS(Applications!D6:D50,"Application received / reviewing")</x:f>
        <x:v>4</x:v>
      </x:c>
      <x:c r="D7" s="16" t="n">
        <x:f>COUNTIFS(Applications!D6:D50,"OA received")</x:f>
        <x:v>4</x:v>
      </x:c>
      <x:c r="E7" s="16" t="n">
        <x:f>COUNTIFS(Applications!D6:D50,"OA outstanding")</x:f>
        <x:v>1</x:v>
      </x:c>
      <x:c r="F7" s="16" t="n">
        <x:f>COUNTIFS(Applications!D6:D50,"Rejected")</x:f>
        <x:v>6</x:v>
      </x:c>
      <x:c r="G7" s="16" t="n">
        <x:f>COUNTIFS(Applications!D6:D50,"In Progress")</x:f>
        <x:v>1</x:v>
      </x:c>
      <x:c r="H7" s="17" t="n">
        <x:f>MAX(Applications!C6:C50)</x:f>
        <x:v>46289</x:v>
      </x:c>
      <x:c r="I7" s="2"/>
      <x:c r="J7" s="2"/>
      <x:c r="K7" s="2"/>
    </x:row>
    <x:row r="8" ht="28" customHeight="1">
      <x:c r="A8" s="18" t="str">
        <x:v>Evidence combines application logs, candidate portals, confirmation emails, and user-reported outcomes. “Not captured” means no role-specific PDF was found locally. Balbec appears twice because two confirmed submission channels were recorded.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0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20" customHeight="1">
      <x:c r="A10" s="32" t="str">
        <x:v>Company</x:v>
      </x:c>
      <x:c r="B10" s="33" t="str">
        <x:v>Role</x:v>
      </x:c>
      <x:c r="C10" s="33" t="str">
        <x:v>Submitted</x:v>
      </x:c>
      <x:c r="D10" s="33" t="str">
        <x:v>Current status</x:v>
      </x:c>
      <x:c r="E10" s="33" t="str">
        <x:v>Evidence</x:v>
      </x:c>
      <x:c r="F10" s="34" t="str">
        <x:v>Resume</x:v>
      </x:c>
      <x:c r="G10" s="2"/>
      <x:c r="H10" s="2"/>
      <x:c r="I10" s="2"/>
      <x:c r="J10" s="2"/>
      <x:c r="K10" s="2"/>
    </x:row>
    <x:row r="11" ht="20" customHeight="1">
      <x:c r="A11" s="35" t="str">
        <x:f>Applications!A6</x:f>
        <x:v>Arrowstreet Capital</x:v>
      </x:c>
      <x:c r="B11" s="36" t="str">
        <x:f>Applications!B6</x:f>
        <x:v>Quantitative Developer Intern, Summer 2027 (R1506)</x:v>
      </x:c>
      <x:c r="C11" s="37" t="n">
        <x:f>Applications!C6</x:f>
        <x:v>46279</x:v>
      </x:c>
      <x:c r="D11" s="36" t="str">
        <x:f>Applications!D6</x:f>
        <x:v>In Progress</x:v>
      </x:c>
      <x:c r="E11" s="36" t="str">
        <x:f>Applications!E6</x:f>
        <x:v>Official candidate home</x:v>
      </x:c>
      <x:c r="F11" s="38" t="e">
        <x:f>Applications!F6</x:f>
        <x:v>HYPERLINK is not implemented. linkLocation=https://github.com/xujingxiang19883/job-applications-dashboard-2026/blob/main/resumes/Xu.Jingxiang.Arrowstreet_Quant_Developer_Intern.pdf, friendlyName=Open PDF</x:v>
      </x:c>
      <x:c r="G11" s="2"/>
      <x:c r="H11" s="2"/>
      <x:c r="I11" s="2"/>
      <x:c r="J11" s="2"/>
      <x:c r="K11" s="2"/>
    </x:row>
    <x:row r="12" ht="20" customHeight="1">
      <x:c r="A12" s="35" t="str">
        <x:f>Applications!A7</x:f>
        <x:v>Applied Academics LLC</x:v>
      </x:c>
      <x:c r="B12" s="36" t="str">
        <x:f>Applications!B7</x:f>
        <x:v>Quantitative Analyst Intern</x:v>
      </x:c>
      <x:c r="C12" s="37" t="n">
        <x:f>Applications!C7</x:f>
        <x:v>46279</x:v>
      </x:c>
      <x:c r="D12" s="36" t="str">
        <x:f>Applications!D7</x:f>
        <x:v>Submitted</x:v>
      </x:c>
      <x:c r="E12" s="36" t="str">
        <x:f>Applications!E7</x:f>
        <x:v>Handshake confirmation</x:v>
      </x:c>
      <x:c r="F12" s="38" t="e">
        <x:f>Applications!F7</x:f>
        <x:v>HYPERLINK is not implemented. linkLocation=https://github.com/xujingxiang19883/job-applications-dashboard-2026/blob/main/resumes/Xu.Jingxiang.Applied_Academics_Analyst_Intern_JD.pdf, friendlyName=Open PDF</x:v>
      </x:c>
      <x:c r="G12" s="2"/>
      <x:c r="H12" s="2"/>
      <x:c r="I12" s="2"/>
      <x:c r="J12" s="2"/>
      <x:c r="K12" s="2"/>
    </x:row>
    <x:row r="13" ht="20" customHeight="1">
      <x:c r="A13" s="35" t="str">
        <x:f>Applications!A8</x:f>
        <x:v>IMC Trading</x:v>
      </x:c>
      <x:c r="B13" s="36" t="str">
        <x:f>Applications!B8</x:f>
        <x:v>Quantitative Trader Intern, Summer 2027</x:v>
      </x:c>
      <x:c r="C13" s="37" t="n">
        <x:f>Applications!C8</x:f>
        <x:v>46279</x:v>
      </x:c>
      <x:c r="D13" s="36" t="str">
        <x:f>Applications!D8</x:f>
        <x:v>OA received</x:v>
      </x:c>
      <x:c r="E13" s="36" t="str">
        <x:f>Applications!E8</x:f>
        <x:v>IMC / SHL assessment invitations</x:v>
      </x:c>
      <x:c r="F13" s="38" t="e">
        <x:f>Applications!F8</x:f>
        <x:v>HYPERLINK is not implemented. linkLocation=https://github.com/xujingxiang19883/job-applications-dashboard-2026/blob/main/resumes/Xu.Jingxiang.IMC_Trader_Intern_JD.pdf, friendlyName=Open PDF</x:v>
      </x:c>
      <x:c r="G13" s="2"/>
      <x:c r="H13" s="2"/>
      <x:c r="I13" s="2"/>
      <x:c r="J13" s="2"/>
      <x:c r="K13" s="2"/>
    </x:row>
    <x:row r="14" ht="20" customHeight="1">
      <x:c r="A14" s="35" t="str">
        <x:f>Applications!A9</x:f>
        <x:v>Balbec Capital LP</x:v>
      </x:c>
      <x:c r="B14" s="36" t="str">
        <x:f>Applications!B9</x:f>
        <x:v>2027 Quantitative Summer Analyst</x:v>
      </x:c>
      <x:c r="C14" s="37" t="n">
        <x:f>Applications!C9</x:f>
        <x:v>46279</x:v>
      </x:c>
      <x:c r="D14" s="36" t="str">
        <x:f>Applications!D9</x:f>
        <x:v>Submitted</x:v>
      </x:c>
      <x:c r="E14" s="36" t="str">
        <x:f>Applications!E9</x:f>
        <x:v>Handshake confirmation</x:v>
      </x:c>
      <x:c r="F14" s="38" t="e">
        <x:f>Applications!F9</x:f>
        <x:v>HYPERLINK is not implemented. linkLocation=https://github.com/xujingxiang19883/job-applications-dashboard-2026/blob/main/resumes/Xu.Jingxiang.Balbec_Summer_Analyst_JD.pdf, friendlyName=Open PDF</x:v>
      </x:c>
      <x:c r="G14" s="2"/>
      <x:c r="H14" s="2"/>
      <x:c r="I14" s="2"/>
      <x:c r="J14" s="2"/>
      <x:c r="K14" s="2"/>
    </x:row>
    <x:row r="15" ht="20" customHeight="1">
      <x:c r="A15" s="35" t="str">
        <x:f>Applications!A10</x:f>
        <x:v>Walleye Capital</x:v>
      </x:c>
      <x:c r="B15" s="36" t="str">
        <x:f>Applications!B10</x:f>
        <x:v>Quantitative Developer Intern, Summer 2027</x:v>
      </x:c>
      <x:c r="C15" s="37" t="n">
        <x:f>Applications!C10</x:f>
        <x:v>46279</x:v>
      </x:c>
      <x:c r="D15" s="36" t="str">
        <x:f>Applications!D10</x:f>
        <x:v>Received / under review</x:v>
      </x:c>
      <x:c r="E15" s="36" t="str">
        <x:f>Applications!E10</x:f>
        <x:v>Official confirmation page</x:v>
      </x:c>
      <x:c r="F15" s="38" t="e">
        <x:f>Applications!F10</x:f>
        <x:v>HYPERLINK is not implemented. linkLocation=https://github.com/xujingxiang19883/job-applications-dashboard-2026/blob/main/resumes/Xu.Jingxiang.Walleye_Quantic_Developer_Intern.pdf, friendlyName=Open PDF</x:v>
      </x:c>
      <x:c r="G15" s="2"/>
      <x:c r="H15" s="2"/>
      <x:c r="I15" s="2"/>
      <x:c r="J15" s="2"/>
      <x:c r="K15" s="2"/>
    </x:row>
    <x:row r="16" ht="20" customHeight="1">
      <x:c r="A16" s="35" t="str">
        <x:f>Applications!A11</x:f>
        <x:v>Seven Research</x:v>
      </x:c>
      <x:c r="B16" s="36" t="str">
        <x:f>Applications!B11</x:f>
        <x:v>Quantitative Researcher Intern</x:v>
      </x:c>
      <x:c r="C16" s="37" t="n">
        <x:f>Applications!C11</x:f>
        <x:v>46279</x:v>
      </x:c>
      <x:c r="D16" s="36" t="str">
        <x:f>Applications!D11</x:f>
        <x:v>Received</x:v>
      </x:c>
      <x:c r="E16" s="36" t="str">
        <x:f>Applications!E11</x:f>
        <x:v>Official confirmation page</x:v>
      </x:c>
      <x:c r="F16" s="38" t="e">
        <x:f>Applications!F11</x:f>
        <x:v>HYPERLINK is not implemented. linkLocation=https://github.com/xujingxiang19883/job-applications-dashboard-2026/blob/main/resumes/Xu.Jingxiang.Seven_Research_Quant_Researcher_Intern.pdf, friendlyName=Open PDF</x:v>
      </x:c>
      <x:c r="G16" s="2"/>
      <x:c r="H16" s="2"/>
      <x:c r="I16" s="2"/>
      <x:c r="J16" s="2"/>
      <x:c r="K16" s="2"/>
    </x:row>
    <x:row r="17" ht="20" customHeight="1">
      <x:c r="A17" s="35" t="str">
        <x:f>Applications!A12</x:f>
        <x:v>Bank of America</x:v>
      </x:c>
      <x:c r="B17" s="36" t="str">
        <x:f>Applications!B12</x:f>
        <x:v>Global Quantitative Research Summer Associate Program, 2027</x:v>
      </x:c>
      <x:c r="C17" s="37" t="n">
        <x:f>Applications!C12</x:f>
        <x:v>46279</x:v>
      </x:c>
      <x:c r="D17" s="36" t="str">
        <x:f>Applications!D12</x:f>
        <x:v>OA outstanding</x:v>
      </x:c>
      <x:c r="E17" s="36" t="str">
        <x:f>Applications!E12</x:f>
        <x:v>Application Center</x:v>
      </x:c>
      <x:c r="F17" s="38" t="e">
        <x:f>Applications!F12</x:f>
        <x:v>HYPERLINK is not implemented. linkLocation=https://github.com/xujingxiang19883/job-applications-dashboard-2026/blob/main/resumes/Xu.Jingxiang.BofA_Global_Quant_Research_2027.pdf, friendlyName=Open PDF</x:v>
      </x:c>
      <x:c r="G17" s="2"/>
      <x:c r="H17" s="2"/>
      <x:c r="I17" s="2"/>
      <x:c r="J17" s="2"/>
      <x:c r="K17" s="2"/>
    </x:row>
    <x:row r="18" ht="20" customHeight="1">
      <x:c r="A18" s="35" t="str">
        <x:f>Applications!A13</x:f>
        <x:v>Fidelity Investments</x:v>
      </x:c>
      <x:c r="B18" s="36" t="str">
        <x:f>Applications!B13</x:f>
        <x:v>Quantitative Research Intern, Multi-Asset Systematic Research Team</x:v>
      </x:c>
      <x:c r="C18" s="37" t="n">
        <x:f>Applications!C13</x:f>
        <x:v>46287</x:v>
      </x:c>
      <x:c r="D18" s="36" t="str">
        <x:f>Applications!D13</x:f>
        <x:v>Rejected</x:v>
      </x:c>
      <x:c r="E18" s="36" t="str">
        <x:f>Applications!E13</x:f>
        <x:v>User-reported outcome</x:v>
      </x:c>
      <x:c r="F18" s="38" t="e">
        <x:f>Applications!F13</x:f>
        <x:v>HYPERLINK is not implemented. linkLocation=https://github.com/xujingxiang19883/job-applications-dashboard-2026/blob/main/resumes/Xu.Jingxiang.Fidelity_Multi_Asset_Systematic_Research_2027.pdf, friendlyName=Open PDF</x:v>
      </x:c>
      <x:c r="G18" s="2"/>
      <x:c r="H18" s="2"/>
      <x:c r="I18" s="2"/>
      <x:c r="J18" s="2"/>
      <x:c r="K18" s="2"/>
    </x:row>
    <x:row r="19" ht="20" customHeight="1">
      <x:c r="A19" s="35" t="str">
        <x:f>Applications!A14</x:f>
        <x:v>Fidelity Investments</x:v>
      </x:c>
      <x:c r="B19" s="36" t="str">
        <x:f>Applications!B14</x:f>
        <x:v>Quantitative Research Intern, Fixed Income Team</x:v>
      </x:c>
      <x:c r="C19" s="37" t="n">
        <x:f>Applications!C14</x:f>
        <x:v>46287</x:v>
      </x:c>
      <x:c r="D19" s="36" t="str">
        <x:f>Applications!D14</x:f>
        <x:v>Rejected</x:v>
      </x:c>
      <x:c r="E19" s="36" t="str">
        <x:f>Applications!E14</x:f>
        <x:v>User-reported outcome</x:v>
      </x:c>
      <x:c r="F19" s="38" t="e">
        <x:f>Applications!F14</x:f>
        <x:v>HYPERLINK is not implemented. linkLocation=https://github.com/xujingxiang19883/job-applications-dashboard-2026/blob/main/resumes/Xu.Jingxiang.Fidelity_Fixed_Income_Quantitative_Research_2027.pdf, friendlyName=Open PDF</x:v>
      </x:c>
      <x:c r="G19" s="2"/>
      <x:c r="H19" s="2"/>
      <x:c r="I19" s="2"/>
      <x:c r="J19" s="2"/>
      <x:c r="K19" s="2"/>
    </x:row>
    <x:row r="20" ht="20" customHeight="1">
      <x:c r="A20" s="35" t="str">
        <x:f>Applications!A15</x:f>
        <x:v>Barclays</x:v>
      </x:c>
      <x:c r="B20" s="36" t="str">
        <x:f>Applications!B15</x:f>
        <x:v>Quantitative Finance Associate Summer Internship Program, 2027 (New York)</x:v>
      </x:c>
      <x:c r="C20" s="37" t="n">
        <x:f>Applications!C15</x:f>
        <x:v>46288</x:v>
      </x:c>
      <x:c r="D20" s="36" t="str">
        <x:f>Applications!D15</x:f>
        <x:v>OA received</x:v>
      </x:c>
      <x:c r="E20" s="36" t="str">
        <x:f>Applications!E15</x:f>
        <x:v>User-reported OA</x:v>
      </x:c>
      <x:c r="F20" s="38" t="e">
        <x:f>Applications!F15</x:f>
        <x:v>HYPERLINK is not implemented. linkLocation=https://github.com/xujingxiang19883/job-applications-dashboard-2026/blob/main/resumes/Xu.Jingxiang.Barclays_Quantitative_Analytics_2027.pdf, friendlyName=Open PDF</x:v>
      </x:c>
      <x:c r="G20" s="2"/>
      <x:c r="H20" s="2"/>
      <x:c r="I20" s="2"/>
      <x:c r="J20" s="2"/>
      <x:c r="K20" s="2"/>
    </x:row>
    <x:row r="21" ht="20" customHeight="1">
      <x:c r="A21" s="35" t="str">
        <x:f>Applications!A16</x:f>
        <x:v>Balbec Capital LP</x:v>
      </x:c>
      <x:c r="B21" s="36" t="str">
        <x:f>Applications!B16</x:f>
        <x:v>2027 Quantitative Summer Analyst</x:v>
      </x:c>
      <x:c r="C21" s="37" t="n">
        <x:f>Applications!C16</x:f>
        <x:v>46289</x:v>
      </x:c>
      <x:c r="D21" s="36" t="str">
        <x:f>Applications!D16</x:f>
        <x:v>Application received / reviewing</x:v>
      </x:c>
      <x:c r="E21" s="36" t="str">
        <x:f>Applications!E16</x:f>
        <x:v>Direct-portal confirmation email</x:v>
      </x:c>
      <x:c r="F21" s="38" t="e">
        <x:f>Applications!F16</x:f>
        <x:v>HYPERLINK is not implemented. linkLocation=https://github.com/xujingxiang19883/job-applications-dashboard-2026/blob/main/resumes/Xu.Jingxiang.Balbec_Quantitative_Summer_Analyst.pdf, friendlyName=Open PDF</x:v>
      </x:c>
      <x:c r="G21" s="2"/>
      <x:c r="H21" s="2"/>
      <x:c r="I21" s="2"/>
      <x:c r="J21" s="2"/>
      <x:c r="K21" s="2"/>
    </x:row>
    <x:row r="22" ht="20" customHeight="1">
      <x:c r="A22" s="35" t="str">
        <x:f>Applications!A17</x:f>
        <x:v>Millennium Management</x:v>
      </x:c>
      <x:c r="B22" s="36" t="str">
        <x:f>Applications!B17</x:f>
        <x:v>2027 Quantitative Researcher Intern, New York</x:v>
      </x:c>
      <x:c r="C22" s="37" t="n">
        <x:f>Applications!C17</x:f>
        <x:v>46263</x:v>
      </x:c>
      <x:c r="D22" s="36" t="str">
        <x:f>Applications!D17</x:f>
        <x:v>Rejected</x:v>
      </x:c>
      <x:c r="E22" s="36" t="str">
        <x:f>Applications!E17</x:f>
        <x:v>Workday receipt and candidacy update</x:v>
      </x:c>
      <x:c r="F22" s="38" t="str">
        <x:f>Applications!F17</x:f>
        <x:v>Not captured</x:v>
      </x:c>
      <x:c r="G22" s="2"/>
      <x:c r="H22" s="2"/>
      <x:c r="I22" s="2"/>
      <x:c r="J22" s="2"/>
      <x:c r="K22" s="2"/>
    </x:row>
    <x:row r="23" ht="20" customHeight="1">
      <x:c r="A23" s="35" t="str">
        <x:f>Applications!A18</x:f>
        <x:v>Millennium Management</x:v>
      </x:c>
      <x:c r="B23" s="36" t="str">
        <x:f>Applications!B18</x:f>
        <x:v>2027 Quantitative Developer Intern, New York</x:v>
      </x:c>
      <x:c r="C23" s="37" t="n">
        <x:f>Applications!C18</x:f>
        <x:v>46267</x:v>
      </x:c>
      <x:c r="D23" s="36" t="str">
        <x:f>Applications!D18</x:f>
        <x:v>Rejected</x:v>
      </x:c>
      <x:c r="E23" s="36" t="str">
        <x:f>Applications!E18</x:f>
        <x:v>Workday receipt and candidacy update</x:v>
      </x:c>
      <x:c r="F23" s="38" t="str">
        <x:f>Applications!F18</x:f>
        <x:v>Not captured</x:v>
      </x:c>
      <x:c r="G23" s="2"/>
      <x:c r="H23" s="2"/>
      <x:c r="I23" s="2"/>
      <x:c r="J23" s="2"/>
      <x:c r="K23" s="2"/>
    </x:row>
    <x:row r="24" ht="20" customHeight="1">
      <x:c r="A24" s="35" t="str">
        <x:f>Applications!A19</x:f>
        <x:v>D. E. Shaw</x:v>
      </x:c>
      <x:c r="B24" s="36" t="str">
        <x:f>Applications!B19</x:f>
        <x:v>Quantitative Analyst Intern, New York, Summer 2027</x:v>
      </x:c>
      <x:c r="C24" s="37" t="n">
        <x:f>Applications!C19</x:f>
        <x:v>46272</x:v>
      </x:c>
      <x:c r="D24" s="36" t="str">
        <x:f>Applications!D19</x:f>
        <x:v>Rejected</x:v>
      </x:c>
      <x:c r="E24" s="36" t="str">
        <x:f>Applications!E19</x:f>
        <x:v>Application receipt and employer update</x:v>
      </x:c>
      <x:c r="F24" s="38" t="e">
        <x:f>Applications!F19</x:f>
        <x:v>HYPERLINK is not implemented. linkLocation=https://github.com/xujingxiang19883/job-applications-dashboard-2026/blob/main/resumes/Xu.Jingxiang.DE_Shaw_Quantitative_Analyst_Intern.pdf, friendlyName=Open PDF</x:v>
      </x:c>
      <x:c r="G24" s="2"/>
      <x:c r="H24" s="2"/>
      <x:c r="I24" s="2"/>
      <x:c r="J24" s="2"/>
      <x:c r="K24" s="2"/>
    </x:row>
    <x:row r="25" ht="20" customHeight="1">
      <x:c r="A25" s="35" t="str">
        <x:f>Applications!A20</x:f>
        <x:v>Jane Street</x:v>
      </x:c>
      <x:c r="B25" s="36" t="str">
        <x:f>Applications!B20</x:f>
        <x:v>Role not specified in employer email</x:v>
      </x:c>
      <x:c r="C25" s="37" t="n">
        <x:f>Applications!C20</x:f>
        <x:v>46273</x:v>
      </x:c>
      <x:c r="D25" s="36" t="str">
        <x:f>Applications!D20</x:f>
        <x:v>Rejected</x:v>
      </x:c>
      <x:c r="E25" s="36" t="str">
        <x:f>Applications!E20</x:f>
        <x:v>Receipt and employer update</x:v>
      </x:c>
      <x:c r="F25" s="38" t="e">
        <x:f>Applications!F20</x:f>
        <x:v>HYPERLINK is not implemented. linkLocation=https://github.com/xujingxiang19883/job-applications-dashboard-2026/blob/main/resumes/Xu.Jingxiang.Jane_Street_Quantitative_Researcher_Intern.pdf, friendlyName=Open PDF</x:v>
      </x:c>
      <x:c r="G25" s="2"/>
      <x:c r="H25" s="2"/>
      <x:c r="I25" s="2"/>
      <x:c r="J25" s="2"/>
      <x:c r="K25" s="2"/>
    </x:row>
    <x:row r="26" ht="20" customHeight="1">
      <x:c r="A26" s="35" t="str">
        <x:f>Applications!A21</x:f>
        <x:v>Ridgeline</x:v>
      </x:c>
      <x:c r="B26" s="36" t="str">
        <x:f>Applications!B21</x:f>
        <x:v>Software Engineer Intern, Summer 2027 (Cornell)</x:v>
      </x:c>
      <x:c r="C26" s="37" t="n">
        <x:f>Applications!C21</x:f>
        <x:v>46283</x:v>
      </x:c>
      <x:c r="D26" s="36" t="str">
        <x:f>Applications!D21</x:f>
        <x:v>Received / under review</x:v>
      </x:c>
      <x:c r="E26" s="36" t="str">
        <x:f>Applications!E21</x:f>
        <x:v>Greenhouse confirmation email</x:v>
      </x:c>
      <x:c r="F26" s="38" t="str">
        <x:f>Applications!F21</x:f>
        <x:v>Not captured</x:v>
      </x:c>
      <x:c r="G26" s="2"/>
      <x:c r="H26" s="2"/>
      <x:c r="I26" s="2"/>
      <x:c r="J26" s="2"/>
      <x:c r="K26" s="2"/>
    </x:row>
    <x:row r="27" ht="20" customHeight="1">
      <x:c r="A27" s="35" t="str">
        <x:f>Applications!A22</x:f>
        <x:v>Susquehanna</x:v>
      </x:c>
      <x:c r="B27" s="36" t="str">
        <x:f>Applications!B22</x:f>
        <x:v>Quantitative Research position</x:v>
      </x:c>
      <x:c r="C27" s="37" t="n">
        <x:f>Applications!C22</x:f>
        <x:v>46274</x:v>
      </x:c>
      <x:c r="D27" s="36" t="str">
        <x:f>Applications!D22</x:f>
        <x:v>OA received</x:v>
      </x:c>
      <x:c r="E27" s="36" t="str">
        <x:f>Applications!E22</x:f>
        <x:v>Recruiting and Mettl assessment invitations</x:v>
      </x:c>
      <x:c r="F27" s="38" t="e">
        <x:f>Applications!F22</x:f>
        <x:v>HYPERLINK is not implemented. linkLocation=https://github.com/xujingxiang19883/job-applications-dashboard-2026/blob/main/resumes/Xu.Jingxiang.Susquehanna_Quantitative_Research_Intern.pdf, friendlyName=Open PDF</x:v>
      </x:c>
      <x:c r="G27" s="2"/>
      <x:c r="H27" s="2"/>
      <x:c r="I27" s="2"/>
      <x:c r="J27" s="2"/>
      <x:c r="K27" s="2"/>
    </x:row>
    <x:row r="28" ht="20" customHeight="1">
      <x:c r="A28" s="39" t="str">
        <x:f>Applications!A23</x:f>
        <x:v>Susquehanna</x:v>
      </x:c>
      <x:c r="B28" s="40" t="str">
        <x:f>Applications!B23</x:f>
        <x:v>Quantitative Systematic Trading position</x:v>
      </x:c>
      <x:c r="C28" s="41" t="n">
        <x:f>Applications!C23</x:f>
        <x:v>46274</x:v>
      </x:c>
      <x:c r="D28" s="40" t="str">
        <x:f>Applications!D23</x:f>
        <x:v>OA received</x:v>
      </x:c>
      <x:c r="E28" s="40" t="str">
        <x:f>Applications!E23</x:f>
        <x:v>Recruiting and Mettl assessment invitations</x:v>
      </x:c>
      <x:c r="F28" s="42" t="str">
        <x:f>Applications!F23</x:f>
        <x:v>Not captured</x:v>
      </x:c>
      <x:c r="G28" s="2"/>
      <x:c r="H28" s="2"/>
      <x:c r="I28" s="2"/>
      <x:c r="J28" s="2"/>
      <x:c r="K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26" customHeight="1">
      <x:c r="A33" s="18" t="str">
        <x:v>Definitions: “Submitted” is a completed application. “Received / reviewing” is an employer acknowledgment. “OA outstanding” means an online assessment remains to be completed. “OA received” means the assessment invitation has been received.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2:H2"/>
    <x:mergeCell ref="A3:H3"/>
    <x:mergeCell ref="A8:H8"/>
    <x:mergeCell ref="A33:H33"/>
  </x:mergeCells>
  <x:conditionalFormatting sqref="D11:D28">
    <x:cfRule type="containsText" dxfId="0" priority="1" operator="containsText" text="Assessment"/>
    <x:cfRule type="containsText" dxfId="1" priority="2" operator="containsText" text="received"/>
    <x:cfRule type="containsText" dxfId="2" priority="3" operator="containsText" text="Submitted"/>
    <x:cfRule type="containsText" dxfId="3" priority="4" operator="containsText" text="OA"/>
    <x:cfRule type="containsText" dxfId="4" priority="5" operator="containsText" text="Reject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54" hidden="0" customWidth="1"/>
    <x:col min="3" max="3" width="16" hidden="0" customWidth="1"/>
    <x:col min="4" max="4" width="27" hidden="0" customWidth="1"/>
    <x:col min="5" max="5" width="28" hidden="0" customWidth="1"/>
    <x:col min="6" max="6" width="14" hidden="0" customWidth="1"/>
    <x:col min="7" max="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9" t="str">
        <x:v>Application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4" t="str">
        <x:v>Each row is a verified application or employer-status record. Public PDF links are hosted in this repository.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32" t="str">
        <x:v>Company</x:v>
      </x:c>
      <x:c r="B5" s="33" t="str">
        <x:v>Role</x:v>
      </x:c>
      <x:c r="C5" s="33" t="str">
        <x:v>Application date</x:v>
      </x:c>
      <x:c r="D5" s="33" t="str">
        <x:v>Current status</x:v>
      </x:c>
      <x:c r="E5" s="33" t="str">
        <x:v>Evidence</x:v>
      </x:c>
      <x:c r="F5" s="33" t="str">
        <x:v>Resume PDF</x:v>
      </x:c>
      <x:c r="G5" s="34" t="str">
        <x:v>Notes</x:v>
      </x:c>
      <x:c r="H5" s="2"/>
      <x:c r="I5" s="2"/>
      <x:c r="J5" s="2"/>
      <x:c r="K5" s="2"/>
    </x:row>
    <x:row r="6" ht="30" customHeight="1">
      <x:c r="A6" s="35" t="str">
        <x:v>Arrowstreet Capital</x:v>
      </x:c>
      <x:c r="B6" s="36" t="str">
        <x:v>Quantitative Developer Intern, Summer 2027 (R1506)</x:v>
      </x:c>
      <x:c r="C6" s="37" t="n">
        <x:v>46279</x:v>
      </x:c>
      <x:c r="D6" s="36" t="str">
        <x:v>In Progress</x:v>
      </x:c>
      <x:c r="E6" s="36" t="str">
        <x:v>Official candidate home</x:v>
      </x:c>
      <x:c r="F6" s="36" t="e">
        <x:f>HYPERLINK("https://github.com/xujingxiang19883/job-applications-dashboard-2026/blob/main/resumes/Xu.Jingxiang.Arrowstreet_Quant_Developer_Intern.pdf","Open PDF")</x:f>
        <x:v>HYPERLINK is not implemented. linkLocation=https://github.com/xujingxiang19883/job-applications-dashboard-2026/blob/main/resumes/Xu.Jingxiang.Arrowstreet_Quant_Developer_Intern.pdf, friendlyName=Open PDF</x:v>
      </x:c>
      <x:c r="G6" s="38" t="str"/>
      <x:c r="H6" s="2"/>
      <x:c r="I6" s="2"/>
      <x:c r="J6" s="2"/>
      <x:c r="K6" s="2"/>
    </x:row>
    <x:row r="7" ht="30" customHeight="1">
      <x:c r="A7" s="35" t="str">
        <x:v>Applied Academics LLC</x:v>
      </x:c>
      <x:c r="B7" s="36" t="str">
        <x:v>Quantitative Analyst Intern</x:v>
      </x:c>
      <x:c r="C7" s="37" t="n">
        <x:v>46279</x:v>
      </x:c>
      <x:c r="D7" s="36" t="str">
        <x:v>Submitted</x:v>
      </x:c>
      <x:c r="E7" s="36" t="str">
        <x:v>Handshake confirmation</x:v>
      </x:c>
      <x:c r="F7" s="36" t="e">
        <x:f>HYPERLINK("https://github.com/xujingxiang19883/job-applications-dashboard-2026/blob/main/resumes/Xu.Jingxiang.Applied_Academics_Analyst_Intern_JD.pdf","Open PDF")</x:f>
        <x:v>HYPERLINK is not implemented. linkLocation=https://github.com/xujingxiang19883/job-applications-dashboard-2026/blob/main/resumes/Xu.Jingxiang.Applied_Academics_Analyst_Intern_JD.pdf, friendlyName=Open PDF</x:v>
      </x:c>
      <x:c r="G7" s="38" t="str"/>
      <x:c r="H7" s="2"/>
      <x:c r="I7" s="2"/>
      <x:c r="J7" s="2"/>
      <x:c r="K7" s="2"/>
    </x:row>
    <x:row r="8" ht="30" customHeight="1">
      <x:c r="A8" s="35" t="str">
        <x:v>IMC Trading</x:v>
      </x:c>
      <x:c r="B8" s="36" t="str">
        <x:v>Quantitative Trader Intern, Summer 2027</x:v>
      </x:c>
      <x:c r="C8" s="37" t="n">
        <x:v>46279</x:v>
      </x:c>
      <x:c r="D8" s="36" t="str">
        <x:v>OA received</x:v>
      </x:c>
      <x:c r="E8" s="36" t="str">
        <x:v>IMC / SHL assessment invitations</x:v>
      </x:c>
      <x:c r="F8" s="36" t="e">
        <x:f>HYPERLINK("https://github.com/xujingxiang19883/job-applications-dashboard-2026/blob/main/resumes/Xu.Jingxiang.IMC_Trader_Intern_JD.pdf","Open PDF")</x:f>
        <x:v>HYPERLINK is not implemented. linkLocation=https://github.com/xujingxiang19883/job-applications-dashboard-2026/blob/main/resumes/Xu.Jingxiang.IMC_Trader_Intern_JD.pdf, friendlyName=Open PDF</x:v>
      </x:c>
      <x:c r="G8" s="38" t="str">
        <x:v>SHL assessment invitation received.</x:v>
      </x:c>
      <x:c r="H8" s="2"/>
      <x:c r="I8" s="2"/>
      <x:c r="J8" s="2"/>
      <x:c r="K8" s="2"/>
    </x:row>
    <x:row r="9" ht="30" customHeight="1">
      <x:c r="A9" s="35" t="str">
        <x:v>Balbec Capital LP</x:v>
      </x:c>
      <x:c r="B9" s="36" t="str">
        <x:v>2027 Quantitative Summer Analyst</x:v>
      </x:c>
      <x:c r="C9" s="37" t="n">
        <x:v>46279</x:v>
      </x:c>
      <x:c r="D9" s="36" t="str">
        <x:v>Submitted</x:v>
      </x:c>
      <x:c r="E9" s="36" t="str">
        <x:v>Handshake confirmation</x:v>
      </x:c>
      <x:c r="F9" s="36" t="e">
        <x:f>HYPERLINK("https://github.com/xujingxiang19883/job-applications-dashboard-2026/blob/main/resumes/Xu.Jingxiang.Balbec_Summer_Analyst_JD.pdf","Open PDF")</x:f>
        <x:v>HYPERLINK is not implemented. linkLocation=https://github.com/xujingxiang19883/job-applications-dashboard-2026/blob/main/resumes/Xu.Jingxiang.Balbec_Summer_Analyst_JD.pdf, friendlyName=Open PDF</x:v>
      </x:c>
      <x:c r="G9" s="38" t="str"/>
      <x:c r="H9" s="2"/>
      <x:c r="I9" s="2"/>
      <x:c r="J9" s="2"/>
      <x:c r="K9" s="2"/>
    </x:row>
    <x:row r="10" ht="30" customHeight="1">
      <x:c r="A10" s="35" t="str">
        <x:v>Walleye Capital</x:v>
      </x:c>
      <x:c r="B10" s="36" t="str">
        <x:v>Quantitative Developer Intern, Summer 2027</x:v>
      </x:c>
      <x:c r="C10" s="37" t="n">
        <x:v>46279</x:v>
      </x:c>
      <x:c r="D10" s="36" t="str">
        <x:v>Received / under review</x:v>
      </x:c>
      <x:c r="E10" s="36" t="str">
        <x:v>Official confirmation page</x:v>
      </x:c>
      <x:c r="F10" s="36" t="e">
        <x:f>HYPERLINK("https://github.com/xujingxiang19883/job-applications-dashboard-2026/blob/main/resumes/Xu.Jingxiang.Walleye_Quantic_Developer_Intern.pdf","Open PDF")</x:f>
        <x:v>HYPERLINK is not implemented. linkLocation=https://github.com/xujingxiang19883/job-applications-dashboard-2026/blob/main/resumes/Xu.Jingxiang.Walleye_Quantic_Developer_Intern.pdf, friendlyName=Open PDF</x:v>
      </x:c>
      <x:c r="G10" s="38" t="str"/>
      <x:c r="H10" s="2"/>
      <x:c r="I10" s="2"/>
      <x:c r="J10" s="2"/>
      <x:c r="K10" s="2"/>
    </x:row>
    <x:row r="11" ht="30" customHeight="1">
      <x:c r="A11" s="35" t="str">
        <x:v>Seven Research</x:v>
      </x:c>
      <x:c r="B11" s="36" t="str">
        <x:v>Quantitative Researcher Intern</x:v>
      </x:c>
      <x:c r="C11" s="37" t="n">
        <x:v>46279</x:v>
      </x:c>
      <x:c r="D11" s="36" t="str">
        <x:v>Received</x:v>
      </x:c>
      <x:c r="E11" s="36" t="str">
        <x:v>Official confirmation page</x:v>
      </x:c>
      <x:c r="F11" s="36" t="e">
        <x:f>HYPERLINK("https://github.com/xujingxiang19883/job-applications-dashboard-2026/blob/main/resumes/Xu.Jingxiang.Seven_Research_Quant_Researcher_Intern.pdf","Open PDF")</x:f>
        <x:v>HYPERLINK is not implemented. linkLocation=https://github.com/xujingxiang19883/job-applications-dashboard-2026/blob/main/resumes/Xu.Jingxiang.Seven_Research_Quant_Researcher_Intern.pdf, friendlyName=Open PDF</x:v>
      </x:c>
      <x:c r="G11" s="38" t="str"/>
      <x:c r="H11" s="2"/>
      <x:c r="I11" s="2"/>
      <x:c r="J11" s="2"/>
      <x:c r="K11" s="2"/>
    </x:row>
    <x:row r="12" ht="30" customHeight="1">
      <x:c r="A12" s="35" t="str">
        <x:v>Bank of America</x:v>
      </x:c>
      <x:c r="B12" s="36" t="str">
        <x:v>Global Quantitative Research Summer Associate Program, 2027</x:v>
      </x:c>
      <x:c r="C12" s="37" t="n">
        <x:v>46279</x:v>
      </x:c>
      <x:c r="D12" s="36" t="str">
        <x:v>OA outstanding</x:v>
      </x:c>
      <x:c r="E12" s="36" t="str">
        <x:v>Application Center</x:v>
      </x:c>
      <x:c r="F12" s="36" t="e">
        <x:f>HYPERLINK("https://github.com/xujingxiang19883/job-applications-dashboard-2026/blob/main/resumes/Xu.Jingxiang.BofA_Global_Quant_Research_2027.pdf","Open PDF")</x:f>
        <x:v>HYPERLINK is not implemented. linkLocation=https://github.com/xujingxiang19883/job-applications-dashboard-2026/blob/main/resumes/Xu.Jingxiang.BofA_Global_Quant_Research_2027.pdf, friendlyName=Open PDF</x:v>
      </x:c>
      <x:c r="G12" s="38" t="str">
        <x:v>Application submitted; the employer's online assessment is still required.</x:v>
      </x:c>
      <x:c r="H12" s="2"/>
      <x:c r="I12" s="2"/>
      <x:c r="J12" s="2"/>
      <x:c r="K12" s="2"/>
    </x:row>
    <x:row r="13" ht="30" customHeight="1">
      <x:c r="A13" s="35" t="str">
        <x:v>Fidelity Investments</x:v>
      </x:c>
      <x:c r="B13" s="36" t="str">
        <x:v>Quantitative Research Intern, Multi-Asset Systematic Research Team</x:v>
      </x:c>
      <x:c r="C13" s="37" t="n">
        <x:v>46287</x:v>
      </x:c>
      <x:c r="D13" s="36" t="str">
        <x:v>Rejected</x:v>
      </x:c>
      <x:c r="E13" s="36" t="str">
        <x:v>User-reported outcome</x:v>
      </x:c>
      <x:c r="F13" s="36" t="e">
        <x:f>HYPERLINK("https://github.com/xujingxiang19883/job-applications-dashboard-2026/blob/main/resumes/Xu.Jingxiang.Fidelity_Multi_Asset_Systematic_Research_2027.pdf","Open PDF")</x:f>
        <x:v>HYPERLINK is not implemented. linkLocation=https://github.com/xujingxiang19883/job-applications-dashboard-2026/blob/main/resumes/Xu.Jingxiang.Fidelity_Multi_Asset_Systematic_Research_2027.pdf, friendlyName=Open PDF</x:v>
      </x:c>
      <x:c r="G13" s="38" t="str">
        <x:v>Application outcome reported as rejected.</x:v>
      </x:c>
      <x:c r="H13" s="2"/>
      <x:c r="I13" s="2"/>
      <x:c r="J13" s="2"/>
      <x:c r="K13" s="2"/>
    </x:row>
    <x:row r="14" ht="30" customHeight="1">
      <x:c r="A14" s="35" t="str">
        <x:v>Fidelity Investments</x:v>
      </x:c>
      <x:c r="B14" s="36" t="str">
        <x:v>Quantitative Research Intern, Fixed Income Team</x:v>
      </x:c>
      <x:c r="C14" s="37" t="n">
        <x:v>46287</x:v>
      </x:c>
      <x:c r="D14" s="36" t="str">
        <x:v>Rejected</x:v>
      </x:c>
      <x:c r="E14" s="36" t="str">
        <x:v>User-reported outcome</x:v>
      </x:c>
      <x:c r="F14" s="36" t="e">
        <x:f>HYPERLINK("https://github.com/xujingxiang19883/job-applications-dashboard-2026/blob/main/resumes/Xu.Jingxiang.Fidelity_Fixed_Income_Quantitative_Research_2027.pdf","Open PDF")</x:f>
        <x:v>HYPERLINK is not implemented. linkLocation=https://github.com/xujingxiang19883/job-applications-dashboard-2026/blob/main/resumes/Xu.Jingxiang.Fidelity_Fixed_Income_Quantitative_Research_2027.pdf, friendlyName=Open PDF</x:v>
      </x:c>
      <x:c r="G14" s="38" t="str">
        <x:v>Application outcome reported as rejected.</x:v>
      </x:c>
      <x:c r="H14" s="2"/>
      <x:c r="I14" s="2"/>
      <x:c r="J14" s="2"/>
      <x:c r="K14" s="2"/>
    </x:row>
    <x:row r="15" ht="30" customHeight="1">
      <x:c r="A15" s="35" t="str">
        <x:v>Barclays</x:v>
      </x:c>
      <x:c r="B15" s="36" t="str">
        <x:v>Quantitative Finance Associate Summer Internship Program, 2027 (New York)</x:v>
      </x:c>
      <x:c r="C15" s="37" t="n">
        <x:v>46288</x:v>
      </x:c>
      <x:c r="D15" s="36" t="str">
        <x:v>OA received</x:v>
      </x:c>
      <x:c r="E15" s="36" t="str">
        <x:v>User-reported OA</x:v>
      </x:c>
      <x:c r="F15" s="36" t="e">
        <x:f>HYPERLINK("https://github.com/xujingxiang19883/job-applications-dashboard-2026/blob/main/resumes/Xu.Jingxiang.Barclays_Quantitative_Analytics_2027.pdf","Open PDF")</x:f>
        <x:v>HYPERLINK is not implemented. linkLocation=https://github.com/xujingxiang19883/job-applications-dashboard-2026/blob/main/resumes/Xu.Jingxiang.Barclays_Quantitative_Analytics_2027.pdf, friendlyName=Open PDF</x:v>
      </x:c>
      <x:c r="G15" s="38" t="str">
        <x:v>Online assessment invitation received.</x:v>
      </x:c>
      <x:c r="H15" s="2"/>
      <x:c r="I15" s="2"/>
      <x:c r="J15" s="2"/>
      <x:c r="K15" s="2"/>
    </x:row>
    <x:row r="16" ht="30" customHeight="1">
      <x:c r="A16" s="35" t="str">
        <x:v>Balbec Capital LP</x:v>
      </x:c>
      <x:c r="B16" s="36" t="str">
        <x:v>2027 Quantitative Summer Analyst</x:v>
      </x:c>
      <x:c r="C16" s="37" t="n">
        <x:v>46289</x:v>
      </x:c>
      <x:c r="D16" s="36" t="str">
        <x:v>Application received / reviewing</x:v>
      </x:c>
      <x:c r="E16" s="36" t="str">
        <x:v>Direct-portal confirmation email</x:v>
      </x:c>
      <x:c r="F16" s="36" t="e">
        <x:f>HYPERLINK("https://github.com/xujingxiang19883/job-applications-dashboard-2026/blob/main/resumes/Xu.Jingxiang.Balbec_Quantitative_Summer_Analyst.pdf","Open PDF")</x:f>
        <x:v>HYPERLINK is not implemented. linkLocation=https://github.com/xujingxiang19883/job-applications-dashboard-2026/blob/main/resumes/Xu.Jingxiang.Balbec_Quantitative_Summer_Analyst.pdf, friendlyName=Open PDF</x:v>
      </x:c>
      <x:c r="G16" s="38" t="str"/>
      <x:c r="H16" s="2"/>
      <x:c r="I16" s="2"/>
      <x:c r="J16" s="2"/>
      <x:c r="K16" s="2"/>
    </x:row>
    <x:row r="17" ht="30" customHeight="1">
      <x:c r="A17" s="35" t="str">
        <x:v>Millennium Management</x:v>
      </x:c>
      <x:c r="B17" s="36" t="str">
        <x:v>2027 Quantitative Researcher Intern, New York</x:v>
      </x:c>
      <x:c r="C17" s="37" t="n">
        <x:v>46263</x:v>
      </x:c>
      <x:c r="D17" s="36" t="str">
        <x:v>Rejected</x:v>
      </x:c>
      <x:c r="E17" s="36" t="str">
        <x:v>Workday receipt and candidacy update</x:v>
      </x:c>
      <x:c r="F17" s="36" t="str">
        <x:v>Not captured</x:v>
      </x:c>
      <x:c r="G17" s="38" t="str">
        <x:v>Application date comes from the employer receipt; later employer update states rejection.</x:v>
      </x:c>
      <x:c r="H17" s="2"/>
      <x:c r="I17" s="2"/>
      <x:c r="J17" s="2"/>
      <x:c r="K17" s="2"/>
    </x:row>
    <x:row r="18" ht="30" customHeight="1">
      <x:c r="A18" s="35" t="str">
        <x:v>Millennium Management</x:v>
      </x:c>
      <x:c r="B18" s="36" t="str">
        <x:v>2027 Quantitative Developer Intern, New York</x:v>
      </x:c>
      <x:c r="C18" s="37" t="n">
        <x:v>46267</x:v>
      </x:c>
      <x:c r="D18" s="36" t="str">
        <x:v>Rejected</x:v>
      </x:c>
      <x:c r="E18" s="36" t="str">
        <x:v>Workday receipt and candidacy update</x:v>
      </x:c>
      <x:c r="F18" s="36" t="str">
        <x:v>Not captured</x:v>
      </x:c>
      <x:c r="G18" s="38" t="str">
        <x:v>Application date comes from the employer receipt; later employer update states rejection.</x:v>
      </x:c>
      <x:c r="H18" s="2"/>
      <x:c r="I18" s="2"/>
      <x:c r="J18" s="2"/>
      <x:c r="K18" s="2"/>
    </x:row>
    <x:row r="19" ht="30" customHeight="1">
      <x:c r="A19" s="35" t="str">
        <x:v>D. E. Shaw</x:v>
      </x:c>
      <x:c r="B19" s="36" t="str">
        <x:v>Quantitative Analyst Intern, New York, Summer 2027</x:v>
      </x:c>
      <x:c r="C19" s="37" t="n">
        <x:v>46272</x:v>
      </x:c>
      <x:c r="D19" s="36" t="str">
        <x:v>Rejected</x:v>
      </x:c>
      <x:c r="E19" s="36" t="str">
        <x:v>Application receipt and employer update</x:v>
      </x:c>
      <x:c r="F19" s="36" t="e">
        <x:f>HYPERLINK("https://github.com/xujingxiang19883/job-applications-dashboard-2026/blob/main/resumes/Xu.Jingxiang.DE_Shaw_Quantitative_Analyst_Intern.pdf","Open PDF")</x:f>
        <x:v>HYPERLINK is not implemented. linkLocation=https://github.com/xujingxiang19883/job-applications-dashboard-2026/blob/main/resumes/Xu.Jingxiang.DE_Shaw_Quantitative_Analyst_Intern.pdf, friendlyName=Open PDF</x:v>
      </x:c>
      <x:c r="G19" s="38" t="str"/>
      <x:c r="H19" s="2"/>
      <x:c r="I19" s="2"/>
      <x:c r="J19" s="2"/>
      <x:c r="K19" s="2"/>
    </x:row>
    <x:row r="20" ht="30" customHeight="1">
      <x:c r="A20" s="35" t="str">
        <x:v>Jane Street</x:v>
      </x:c>
      <x:c r="B20" s="36" t="str">
        <x:v>Role not specified in employer email</x:v>
      </x:c>
      <x:c r="C20" s="37" t="n">
        <x:v>46273</x:v>
      </x:c>
      <x:c r="D20" s="36" t="str">
        <x:v>Rejected</x:v>
      </x:c>
      <x:c r="E20" s="36" t="str">
        <x:v>Receipt and employer update</x:v>
      </x:c>
      <x:c r="F20" s="36" t="e">
        <x:f>HYPERLINK("https://github.com/xujingxiang19883/job-applications-dashboard-2026/blob/main/resumes/Xu.Jingxiang.Jane_Street_Quantitative_Researcher_Intern.pdf","Open PDF")</x:f>
        <x:v>HYPERLINK is not implemented. linkLocation=https://github.com/xujingxiang19883/job-applications-dashboard-2026/blob/main/resumes/Xu.Jingxiang.Jane_Street_Quantitative_Researcher_Intern.pdf, friendlyName=Open PDF</x:v>
      </x:c>
      <x:c r="G20" s="38" t="str">
        <x:v>Employer confirmation did not name the role; the linked PDF is the locally retained Jane Street tailored resume.</x:v>
      </x:c>
      <x:c r="H20" s="2"/>
      <x:c r="I20" s="2"/>
      <x:c r="J20" s="2"/>
      <x:c r="K20" s="2"/>
    </x:row>
    <x:row r="21" ht="30" customHeight="1">
      <x:c r="A21" s="35" t="str">
        <x:v>Ridgeline</x:v>
      </x:c>
      <x:c r="B21" s="36" t="str">
        <x:v>Software Engineer Intern, Summer 2027 (Cornell)</x:v>
      </x:c>
      <x:c r="C21" s="37" t="n">
        <x:v>46283</x:v>
      </x:c>
      <x:c r="D21" s="36" t="str">
        <x:v>Received / under review</x:v>
      </x:c>
      <x:c r="E21" s="36" t="str">
        <x:v>Greenhouse confirmation email</x:v>
      </x:c>
      <x:c r="F21" s="36" t="str">
        <x:v>Not captured</x:v>
      </x:c>
      <x:c r="G21" s="38" t="str">
        <x:v>No role-specific PDF found locally.</x:v>
      </x:c>
      <x:c r="H21" s="2"/>
      <x:c r="I21" s="2"/>
      <x:c r="J21" s="2"/>
      <x:c r="K21" s="2"/>
    </x:row>
    <x:row r="22" ht="30" customHeight="1">
      <x:c r="A22" s="35" t="str">
        <x:v>Susquehanna</x:v>
      </x:c>
      <x:c r="B22" s="36" t="str">
        <x:v>Quantitative Research position</x:v>
      </x:c>
      <x:c r="C22" s="37" t="n">
        <x:v>46274</x:v>
      </x:c>
      <x:c r="D22" s="36" t="str">
        <x:v>OA received</x:v>
      </x:c>
      <x:c r="E22" s="36" t="str">
        <x:v>Recruiting and Mettl assessment invitations</x:v>
      </x:c>
      <x:c r="F22" s="36" t="e">
        <x:f>HYPERLINK("https://github.com/xujingxiang19883/job-applications-dashboard-2026/blob/main/resumes/Xu.Jingxiang.Susquehanna_Quantitative_Research_Intern.pdf","Open PDF")</x:f>
        <x:v>HYPERLINK is not implemented. linkLocation=https://github.com/xujingxiang19883/job-applications-dashboard-2026/blob/main/resumes/Xu.Jingxiang.Susquehanna_Quantitative_Research_Intern.pdf, friendlyName=Open PDF</x:v>
      </x:c>
      <x:c r="G22" s="38" t="str">
        <x:v>Assessment invitation confirms both open positions; the date shown is the invitation date.</x:v>
      </x:c>
      <x:c r="H22" s="2"/>
      <x:c r="I22" s="2"/>
      <x:c r="J22" s="2"/>
      <x:c r="K22" s="2"/>
    </x:row>
    <x:row r="23" ht="30" customHeight="1">
      <x:c r="A23" s="39" t="str">
        <x:v>Susquehanna</x:v>
      </x:c>
      <x:c r="B23" s="40" t="str">
        <x:v>Quantitative Systematic Trading position</x:v>
      </x:c>
      <x:c r="C23" s="41" t="n">
        <x:v>46274</x:v>
      </x:c>
      <x:c r="D23" s="40" t="str">
        <x:v>OA received</x:v>
      </x:c>
      <x:c r="E23" s="40" t="str">
        <x:v>Recruiting and Mettl assessment invitations</x:v>
      </x:c>
      <x:c r="F23" s="40" t="str">
        <x:v>Not captured</x:v>
      </x:c>
      <x:c r="G23" s="42" t="str">
        <x:v>Assessment invitation confirms both open positions; the date shown is the invitation date.</x:v>
      </x:c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2:G2"/>
    <x:mergeCell ref="A3:G3"/>
  </x:mergeCells>
  <x:conditionalFormatting sqref="D6:D23">
    <x:cfRule type="containsText" dxfId="5" priority="1" operator="containsText" text="Assessment"/>
    <x:cfRule type="containsText" dxfId="6" priority="2" operator="containsText" text="received"/>
    <x:cfRule type="containsText" dxfId="7" priority="3" operator="containsText" text="Submitted"/>
    <x:cfRule type="containsText" dxfId="8" priority="4" operator="containsText" text="OA"/>
    <x:cfRule type="containsText" dxfId="9" priority="5" operator="containsText" text="Rejected"/>
  </x:conditionalFormatting>
  <x:pageMargins left="0.7" right="0.7" top="0.75" bottom="0.75" header="0.3" footer="0.3"/>
</x:worksheet>
</file>