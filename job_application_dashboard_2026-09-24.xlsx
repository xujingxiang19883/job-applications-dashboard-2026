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372df0551b49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53275dbe94745f4"/>
    <x:sheet xmlns:r="http://schemas.openxmlformats.org/officeDocument/2006/relationships" name="Applications" sheetId="2" r:id="R1c7daccaee6a4b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sz val="10"/>
      <x:color rgb="FF1F2937"/>
      <x:name val="Arial"/>
    </x:font>
    <x:font>
      <x:b/>
      <x:sz val="16"/>
      <x:color rgb="FF17365D"/>
      <x:name val="Arial"/>
    </x:font>
    <x:font>
      <x:i/>
      <x:sz val="10"/>
      <x:color rgb="FF5B6573"/>
      <x:name val="Arial"/>
    </x:font>
    <x:font>
      <x:b/>
      <x:sz val="10"/>
      <x:color rgb="FF17365D"/>
      <x:name val="Arial"/>
    </x:font>
    <x:font>
      <x:b/>
      <x:sz val="14"/>
      <x:color rgb="FF17365D"/>
      <x:name val="Arial"/>
    </x:font>
    <x:font>
      <x:i/>
      <x:sz val="9"/>
      <x:color rgb="FF5B6573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1F4E78"/>
      </x:patternFill>
    </x:fill>
  </x:fills>
  <x:borders count="15">
    <x:border/>
    <x:border>
      <x:bottom style="thin">
        <x:color rgb="FF9CA3AF"/>
      </x:bottom>
    </x:border>
    <x:border>
      <x:left style="thin">
        <x:color rgb="FF9CA3AF"/>
      </x:left>
      <x:top style="thin">
        <x:color rgb="FF9CA3AF"/>
      </x:top>
    </x:border>
    <x:border>
      <x:top style="thin">
        <x:color rgb="FF9CA3AF"/>
      </x:top>
    </x:border>
    <x:border>
      <x:right style="thin">
        <x:color rgb="FF9CA3AF"/>
      </x:right>
      <x:top style="thin">
        <x:color rgb="FF9CA3AF"/>
      </x:top>
    </x:border>
    <x:border>
      <x:left style="thin">
        <x:color rgb="FF9CA3AF"/>
      </x:left>
      <x:bottom style="thin">
        <x:color rgb="FF9CA3AF"/>
      </x:bottom>
    </x:border>
    <x:border>
      <x:right style="thin">
        <x:color rgb="FF9CA3AF"/>
      </x:right>
      <x:bottom style="thin">
        <x:color rgb="FF9CA3AF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horizontal="center" vertical="center"/>
    </x:xf>
    <x:xf numFmtId="200" fontId="5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0" fontId="7" fillId="3" borderId="7" xfId="0" applyNumberFormat="1" applyFont="1" applyFill="1" applyBorder="1" applyAlignment="1">
      <x:alignment horizontal="center" vertical="center"/>
    </x:xf>
    <x:xf numFmtId="0" fontId="7" fillId="3" borderId="8" xfId="0" applyNumberFormat="1" applyFont="1" applyFill="1" applyBorder="1" applyAlignment="1">
      <x:alignment horizontal="center" vertical="center"/>
    </x:xf>
    <x:xf numFmtId="0" fontId="7" fillId="3" borderId="9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200" fontId="1" fillId="0" borderId="13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0" fontId="7" fillId="3" borderId="7" xfId="0" applyNumberFormat="1" applyFont="1" applyFill="1" applyBorder="1" applyAlignment="1">
      <x:alignment horizontal="center" vertical="center" wrapText="1"/>
    </x:xf>
    <x:xf numFmtId="0" fontId="7" fillId="3" borderId="8" xfId="0" applyNumberFormat="1" applyFont="1" applyFill="1" applyBorder="1" applyAlignment="1">
      <x:alignment horizontal="center" vertical="center" wrapText="1"/>
    </x:xf>
    <x:xf numFmtId="0" fontId="7" fillId="3" borderId="9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200" fontId="1" fillId="0" borderId="13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9C2F00"/>
      </x:font>
      <x:fill>
        <x:patternFill patternType="solid">
          <x:bgColor rgb="FFFDE9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2F00"/>
      </x:font>
      <x:fill>
        <x:patternFill patternType="solid">
          <x:bgColor rgb="FFFDE9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fb251240114a49" /><Relationship Type="http://schemas.openxmlformats.org/officeDocument/2006/relationships/theme" Target="/xl/theme/theme1.xml" Id="R0121aed557434fb1" /><Relationship Type="http://schemas.openxmlformats.org/officeDocument/2006/relationships/sharedStrings" Target="/xl/sharedStrings.xml" Id="R667749f86c354795" /><Relationship Type="http://schemas.openxmlformats.org/officeDocument/2006/relationships/worksheet" Target="/xl/worksheets/sheet1.xml" Id="R553275dbe94745f4" /><Relationship Type="http://schemas.openxmlformats.org/officeDocument/2006/relationships/worksheet" Target="/xl/worksheets/sheet2.xml" Id="R1c7daccaee6a4b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2" hidden="0" customWidth="1"/>
    <x:col min="2" max="2" width="48" hidden="0" customWidth="1"/>
    <x:col min="3" max="3" width="14" hidden="0" customWidth="1"/>
    <x:col min="4" max="4" width="25" hidden="0" customWidth="1"/>
    <x:col min="5" max="5" width="27" hidden="0" customWidth="1"/>
    <x:col min="6" max="6" width="14" hidden="0" customWidth="1"/>
    <x:col min="7" max="7" width="27" hidden="0" customWidth="1"/>
    <x:col min="8" max="8" width="2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8" customHeight="1">
      <x:c r="A2" s="3" t="str">
        <x:v>2026 Job Application Dashboard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2" customHeight="1">
      <x:c r="A3" s="4" t="str">
        <x:v>Coverage: applications with verified submission or status evidence from 2026-08-24 through 2026-09-24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0" customHeight="1">
      <x:c r="A4" s="5"/>
      <x:c r="B4" s="5"/>
      <x:c r="C4" s="5"/>
      <x:c r="D4" s="5"/>
      <x:c r="E4" s="5"/>
      <x:c r="F4" s="5"/>
      <x:c r="G4" s="5"/>
      <x:c r="H4" s="5"/>
      <x:c r="I4" s="2"/>
      <x:c r="J4" s="2"/>
      <x:c r="K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0" customHeight="1">
      <x:c r="A6" s="13" t="str">
        <x:v>Total applications</x:v>
      </x:c>
      <x:c r="B6" s="14" t="str">
        <x:v>Submitted</x:v>
      </x:c>
      <x:c r="C6" s="14" t="str">
        <x:v>Received / reviewing</x:v>
      </x:c>
      <x:c r="D6" s="14" t="str">
        <x:v>In progress</x:v>
      </x:c>
      <x:c r="E6" s="14" t="str">
        <x:v>Assessment outstanding</x:v>
      </x:c>
      <x:c r="F6" s="14" t="str">
        <x:v>Latest submission</x:v>
      </x:c>
      <x:c r="G6" s="14" t="str">
        <x:v>Source coverage</x:v>
      </x:c>
      <x:c r="H6" s="15" t="str">
        <x:v>Public resume links</x:v>
      </x:c>
      <x:c r="I6" s="2"/>
      <x:c r="J6" s="2"/>
      <x:c r="K6" s="2"/>
    </x:row>
    <x:row r="7" ht="20" customHeight="1">
      <x:c r="A7" s="16" t="n">
        <x:f>COUNTA(Applications!A6:A50)</x:f>
        <x:v>9</x:v>
      </x:c>
      <x:c r="B7" s="17" t="n">
        <x:f>COUNTIFS(Applications!D6:D50,"Submitted")</x:f>
        <x:v>3</x:v>
      </x:c>
      <x:c r="C7" s="17" t="n">
        <x:f>COUNTIFS(Applications!D6:D50,"Received")+COUNTIFS(Applications!D6:D50,"Received / under review")+COUNTIFS(Applications!D6:D50,"Application received")+COUNTIFS(Applications!D6:D50,"Application received / reviewing")</x:f>
        <x:v>4</x:v>
      </x:c>
      <x:c r="D7" s="17" t="n">
        <x:f>COUNTIFS(Applications!D6:D50,"In Progress")</x:f>
        <x:v>1</x:v>
      </x:c>
      <x:c r="E7" s="17" t="n">
        <x:f>COUNTIFS(Applications!D6:D50,"Assessment outstanding")</x:f>
        <x:v>1</x:v>
      </x:c>
      <x:c r="F7" s="18" t="n">
        <x:f>MAX(Applications!C6:C50)</x:f>
        <x:v>46289</x:v>
      </x:c>
      <x:c r="G7" s="19" t="str">
        <x:v>Application logs, candidate portals, and confirmation emails</x:v>
      </x:c>
      <x:c r="H7" s="20" t="str">
        <x:v>Click Open PDF in the tracker</x:v>
      </x:c>
      <x:c r="I7" s="2"/>
      <x:c r="J7" s="2"/>
      <x:c r="K7" s="2"/>
    </x:row>
    <x:row r="8" ht="28" customHeight="1">
      <x:c r="A8" s="21" t="str">
        <x:v>Note: Fidelity Fixed Income and Barclays are excluded because a completed submission was not verified. Balbec appears twice because two confirmed submission channels were recorded.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</x:row>
    <x:row r="9" ht="20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</x:row>
    <x:row r="10" ht="20" customHeight="1">
      <x:c r="A10" s="35" t="str">
        <x:v>Company</x:v>
      </x:c>
      <x:c r="B10" s="36" t="str">
        <x:v>Role</x:v>
      </x:c>
      <x:c r="C10" s="36" t="str">
        <x:v>Submitted</x:v>
      </x:c>
      <x:c r="D10" s="36" t="str">
        <x:v>Current status</x:v>
      </x:c>
      <x:c r="E10" s="36" t="str">
        <x:v>Evidence</x:v>
      </x:c>
      <x:c r="F10" s="37" t="str">
        <x:v>Resume</x:v>
      </x:c>
      <x:c r="G10" s="2"/>
      <x:c r="H10" s="2"/>
      <x:c r="I10" s="2"/>
      <x:c r="J10" s="2"/>
      <x:c r="K10" s="2"/>
    </x:row>
    <x:row r="11" ht="20" customHeight="1">
      <x:c r="A11" s="38" t="str">
        <x:f>Applications!A6</x:f>
        <x:v>Arrowstreet Capital</x:v>
      </x:c>
      <x:c r="B11" s="12" t="str">
        <x:f>Applications!B6</x:f>
        <x:v>Quantitative Developer Intern, Summer 2027 (R1506)</x:v>
      </x:c>
      <x:c r="C11" s="39" t="n">
        <x:f>Applications!C6</x:f>
        <x:v>46279</x:v>
      </x:c>
      <x:c r="D11" s="12" t="str">
        <x:f>Applications!D6</x:f>
        <x:v>In Progress</x:v>
      </x:c>
      <x:c r="E11" s="12" t="str">
        <x:f>Applications!E6</x:f>
        <x:v>Official candidate home</x:v>
      </x:c>
      <x:c r="F11" s="40" t="e">
        <x:f>Applications!F6</x:f>
        <x:v>HYPERLINK is not implemented. linkLocation=https://github.com/xujingxiang19883/job-applications-dashboard-2026/blob/main/resumes/Xu.Jingxiang.Arrowstreet_Quant_Developer_Intern.pdf, friendlyName=Open PDF</x:v>
      </x:c>
      <x:c r="G11" s="2"/>
      <x:c r="H11" s="2"/>
      <x:c r="I11" s="2"/>
      <x:c r="J11" s="2"/>
      <x:c r="K11" s="2"/>
    </x:row>
    <x:row r="12" ht="20" customHeight="1">
      <x:c r="A12" s="38" t="str">
        <x:f>Applications!A7</x:f>
        <x:v>Applied Academics LLC</x:v>
      </x:c>
      <x:c r="B12" s="12" t="str">
        <x:f>Applications!B7</x:f>
        <x:v>Quantitative Analyst Intern</x:v>
      </x:c>
      <x:c r="C12" s="39" t="n">
        <x:f>Applications!C7</x:f>
        <x:v>46279</x:v>
      </x:c>
      <x:c r="D12" s="12" t="str">
        <x:f>Applications!D7</x:f>
        <x:v>Submitted</x:v>
      </x:c>
      <x:c r="E12" s="12" t="str">
        <x:f>Applications!E7</x:f>
        <x:v>Handshake confirmation</x:v>
      </x:c>
      <x:c r="F12" s="40" t="e">
        <x:f>Applications!F7</x:f>
        <x:v>HYPERLINK is not implemented. linkLocation=https://github.com/xujingxiang19883/job-applications-dashboard-2026/blob/main/resumes/Xu.Jingxiang.Applied_Academics_Analyst_Intern_JD.pdf, friendlyName=Open PDF</x:v>
      </x:c>
      <x:c r="G12" s="2"/>
      <x:c r="H12" s="2"/>
      <x:c r="I12" s="2"/>
      <x:c r="J12" s="2"/>
      <x:c r="K12" s="2"/>
    </x:row>
    <x:row r="13" ht="20" customHeight="1">
      <x:c r="A13" s="38" t="str">
        <x:f>Applications!A8</x:f>
        <x:v>IMC</x:v>
      </x:c>
      <x:c r="B13" s="12" t="str">
        <x:f>Applications!B8</x:f>
        <x:v>Quantitative Trader Intern, Summer 2027 (Chicago)</x:v>
      </x:c>
      <x:c r="C13" s="39" t="n">
        <x:f>Applications!C8</x:f>
        <x:v>46279</x:v>
      </x:c>
      <x:c r="D13" s="12" t="str">
        <x:f>Applications!D8</x:f>
        <x:v>Submitted</x:v>
      </x:c>
      <x:c r="E13" s="12" t="str">
        <x:f>Applications!E8</x:f>
        <x:v>Official confirmation page</x:v>
      </x:c>
      <x:c r="F13" s="40" t="e">
        <x:f>Applications!F8</x:f>
        <x:v>HYPERLINK is not implemented. linkLocation=https://github.com/xujingxiang19883/job-applications-dashboard-2026/blob/main/resumes/Xu.Jingxiang.IMC_Trader_Intern_JD.pdf, friendlyName=Open PDF</x:v>
      </x:c>
      <x:c r="G13" s="2"/>
      <x:c r="H13" s="2"/>
      <x:c r="I13" s="2"/>
      <x:c r="J13" s="2"/>
      <x:c r="K13" s="2"/>
    </x:row>
    <x:row r="14" ht="20" customHeight="1">
      <x:c r="A14" s="38" t="str">
        <x:f>Applications!A9</x:f>
        <x:v>Balbec Capital LP</x:v>
      </x:c>
      <x:c r="B14" s="12" t="str">
        <x:f>Applications!B9</x:f>
        <x:v>2027 Quantitative Summer Analyst</x:v>
      </x:c>
      <x:c r="C14" s="39" t="n">
        <x:f>Applications!C9</x:f>
        <x:v>46279</x:v>
      </x:c>
      <x:c r="D14" s="12" t="str">
        <x:f>Applications!D9</x:f>
        <x:v>Submitted</x:v>
      </x:c>
      <x:c r="E14" s="12" t="str">
        <x:f>Applications!E9</x:f>
        <x:v>Handshake confirmation</x:v>
      </x:c>
      <x:c r="F14" s="40" t="e">
        <x:f>Applications!F9</x:f>
        <x:v>HYPERLINK is not implemented. linkLocation=https://github.com/xujingxiang19883/job-applications-dashboard-2026/blob/main/resumes/Xu.Jingxiang.Balbec_Summer_Analyst_JD.pdf, friendlyName=Open PDF</x:v>
      </x:c>
      <x:c r="G14" s="2"/>
      <x:c r="H14" s="2"/>
      <x:c r="I14" s="2"/>
      <x:c r="J14" s="2"/>
      <x:c r="K14" s="2"/>
    </x:row>
    <x:row r="15" ht="20" customHeight="1">
      <x:c r="A15" s="38" t="str">
        <x:f>Applications!A10</x:f>
        <x:v>Walleye Capital</x:v>
      </x:c>
      <x:c r="B15" s="12" t="str">
        <x:f>Applications!B10</x:f>
        <x:v>Quantitative Developer Intern, Summer 2027</x:v>
      </x:c>
      <x:c r="C15" s="39" t="n">
        <x:f>Applications!C10</x:f>
        <x:v>46279</x:v>
      </x:c>
      <x:c r="D15" s="12" t="str">
        <x:f>Applications!D10</x:f>
        <x:v>Received / under review</x:v>
      </x:c>
      <x:c r="E15" s="12" t="str">
        <x:f>Applications!E10</x:f>
        <x:v>Official confirmation page</x:v>
      </x:c>
      <x:c r="F15" s="40" t="e">
        <x:f>Applications!F10</x:f>
        <x:v>HYPERLINK is not implemented. linkLocation=https://github.com/xujingxiang19883/job-applications-dashboard-2026/blob/main/resumes/Xu.Jingxiang.Walleye_Quantic_Developer_Intern.pdf, friendlyName=Open PDF</x:v>
      </x:c>
      <x:c r="G15" s="2"/>
      <x:c r="H15" s="2"/>
      <x:c r="I15" s="2"/>
      <x:c r="J15" s="2"/>
      <x:c r="K15" s="2"/>
    </x:row>
    <x:row r="16" ht="20" customHeight="1">
      <x:c r="A16" s="38" t="str">
        <x:f>Applications!A11</x:f>
        <x:v>Seven Research</x:v>
      </x:c>
      <x:c r="B16" s="12" t="str">
        <x:f>Applications!B11</x:f>
        <x:v>Quantitative Researcher Intern</x:v>
      </x:c>
      <x:c r="C16" s="39" t="n">
        <x:f>Applications!C11</x:f>
        <x:v>46279</x:v>
      </x:c>
      <x:c r="D16" s="12" t="str">
        <x:f>Applications!D11</x:f>
        <x:v>Received</x:v>
      </x:c>
      <x:c r="E16" s="12" t="str">
        <x:f>Applications!E11</x:f>
        <x:v>Official confirmation page</x:v>
      </x:c>
      <x:c r="F16" s="40" t="e">
        <x:f>Applications!F11</x:f>
        <x:v>HYPERLINK is not implemented. linkLocation=https://github.com/xujingxiang19883/job-applications-dashboard-2026/blob/main/resumes/Xu.Jingxiang.Seven_Research_Quant_Researcher_Intern.pdf, friendlyName=Open PDF</x:v>
      </x:c>
      <x:c r="G16" s="2"/>
      <x:c r="H16" s="2"/>
      <x:c r="I16" s="2"/>
      <x:c r="J16" s="2"/>
      <x:c r="K16" s="2"/>
    </x:row>
    <x:row r="17" ht="20" customHeight="1">
      <x:c r="A17" s="38" t="str">
        <x:f>Applications!A12</x:f>
        <x:v>Bank of America</x:v>
      </x:c>
      <x:c r="B17" s="12" t="str">
        <x:f>Applications!B12</x:f>
        <x:v>Global Quantitative Research Summer Associate Program, 2027</x:v>
      </x:c>
      <x:c r="C17" s="39" t="n">
        <x:f>Applications!C12</x:f>
        <x:v>46279</x:v>
      </x:c>
      <x:c r="D17" s="12" t="str">
        <x:f>Applications!D12</x:f>
        <x:v>Assessment outstanding</x:v>
      </x:c>
      <x:c r="E17" s="12" t="str">
        <x:f>Applications!E12</x:f>
        <x:v>Application Center</x:v>
      </x:c>
      <x:c r="F17" s="40" t="e">
        <x:f>Applications!F12</x:f>
        <x:v>HYPERLINK is not implemented. linkLocation=https://github.com/xujingxiang19883/job-applications-dashboard-2026/blob/main/resumes/Xu.Jingxiang.BofA_Global_Quant_Research_2027.pdf, friendlyName=Open PDF</x:v>
      </x:c>
      <x:c r="G17" s="2"/>
      <x:c r="H17" s="2"/>
      <x:c r="I17" s="2"/>
      <x:c r="J17" s="2"/>
      <x:c r="K17" s="2"/>
    </x:row>
    <x:row r="18" ht="20" customHeight="1">
      <x:c r="A18" s="38" t="str">
        <x:f>Applications!A13</x:f>
        <x:v>Fidelity Investments</x:v>
      </x:c>
      <x:c r="B18" s="12" t="str">
        <x:f>Applications!B13</x:f>
        <x:v>Quantitative Research Intern, Multi-Asset Systematic Research Team</x:v>
      </x:c>
      <x:c r="C18" s="39" t="n">
        <x:f>Applications!C13</x:f>
        <x:v>46287</x:v>
      </x:c>
      <x:c r="D18" s="12" t="str">
        <x:f>Applications!D13</x:f>
        <x:v>Application received</x:v>
      </x:c>
      <x:c r="E18" s="12" t="str">
        <x:f>Applications!E13</x:f>
        <x:v>Workday Candidate Home</x:v>
      </x:c>
      <x:c r="F18" s="40" t="e">
        <x:f>Applications!F13</x:f>
        <x:v>HYPERLINK is not implemented. linkLocation=https://github.com/xujingxiang19883/job-applications-dashboard-2026/blob/main/resumes/Xu.Jingxiang.Fidelity_Multi_Asset_Systematic_Research_2027.pdf, friendlyName=Open PDF</x:v>
      </x:c>
      <x:c r="G18" s="2"/>
      <x:c r="H18" s="2"/>
      <x:c r="I18" s="2"/>
      <x:c r="J18" s="2"/>
      <x:c r="K18" s="2"/>
    </x:row>
    <x:row r="19" ht="20" customHeight="1">
      <x:c r="A19" s="41" t="str">
        <x:f>Applications!A14</x:f>
        <x:v>Balbec Capital LP</x:v>
      </x:c>
      <x:c r="B19" s="42" t="str">
        <x:f>Applications!B14</x:f>
        <x:v>2027 Quantitative Summer Analyst</x:v>
      </x:c>
      <x:c r="C19" s="43" t="n">
        <x:f>Applications!C14</x:f>
        <x:v>46289</x:v>
      </x:c>
      <x:c r="D19" s="42" t="str">
        <x:f>Applications!D14</x:f>
        <x:v>Application received / reviewing</x:v>
      </x:c>
      <x:c r="E19" s="42" t="str">
        <x:f>Applications!E14</x:f>
        <x:v>Direct-portal confirmation email</x:v>
      </x:c>
      <x:c r="F19" s="44" t="e">
        <x:f>Applications!F14</x:f>
        <x:v>HYPERLINK is not implemented. linkLocation=https://github.com/xujingxiang19883/job-applications-dashboard-2026/blob/main/resumes/Xu.Jingxiang.Balbec_Quantitative_Summer_Analyst.pdf, friendlyName=Open PDF</x:v>
      </x:c>
      <x:c r="G19" s="2"/>
      <x:c r="H19" s="2"/>
      <x:c r="I19" s="2"/>
      <x:c r="J19" s="2"/>
      <x:c r="K19" s="2"/>
    </x:row>
    <x:row r="20" ht="2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 ht="2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2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 ht="2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26" customHeight="1">
      <x:c r="A24" s="21" t="str">
        <x:v>Definitions: “Submitted” is a completed application. “Received / reviewing” is an employer acknowledgment. “Assessment outstanding” means the application needs the employer’s assessment to progress.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</x:row>
  </x:sheetData>
  <x:mergeCells>
    <x:mergeCell ref="A2:H2"/>
    <x:mergeCell ref="A3:H3"/>
    <x:mergeCell ref="A8:H8"/>
    <x:mergeCell ref="A24:H24"/>
  </x:mergeCells>
  <x:conditionalFormatting sqref="D11:D19">
    <x:cfRule type="containsText" dxfId="0" priority="1" operator="containsText" text="Assessment"/>
    <x:cfRule type="containsText" dxfId="1" priority="2" operator="containsText" text="received"/>
    <x:cfRule type="containsText" dxfId="2" priority="3" operator="containsText" text="Submitt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54" hidden="0" customWidth="1"/>
    <x:col min="3" max="3" width="16" hidden="0" customWidth="1"/>
    <x:col min="4" max="4" width="27" hidden="0" customWidth="1"/>
    <x:col min="5" max="5" width="28" hidden="0" customWidth="1"/>
    <x:col min="6" max="6" width="14" hidden="0" customWidth="1"/>
    <x:col min="7" max="7" width="4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9" t="str">
        <x:v>Application tracker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4" t="str">
        <x:v>Each row is a verified application or employer-status record. Public PDF links are hosted in this repository.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>
      <x:c r="A5" s="35" t="str">
        <x:v>Company</x:v>
      </x:c>
      <x:c r="B5" s="36" t="str">
        <x:v>Role</x:v>
      </x:c>
      <x:c r="C5" s="36" t="str">
        <x:v>Application date</x:v>
      </x:c>
      <x:c r="D5" s="36" t="str">
        <x:v>Current status</x:v>
      </x:c>
      <x:c r="E5" s="36" t="str">
        <x:v>Evidence</x:v>
      </x:c>
      <x:c r="F5" s="36" t="str">
        <x:v>Resume PDF</x:v>
      </x:c>
      <x:c r="G5" s="37" t="str">
        <x:v>Notes</x:v>
      </x:c>
      <x:c r="H5" s="2"/>
      <x:c r="I5" s="2"/>
      <x:c r="J5" s="2"/>
      <x:c r="K5" s="2"/>
    </x:row>
    <x:row r="6" ht="30" customHeight="1">
      <x:c r="A6" s="38" t="str">
        <x:v>Arrowstreet Capital</x:v>
      </x:c>
      <x:c r="B6" s="12" t="str">
        <x:v>Quantitative Developer Intern, Summer 2027 (R1506)</x:v>
      </x:c>
      <x:c r="C6" s="39" t="n">
        <x:v>46279</x:v>
      </x:c>
      <x:c r="D6" s="12" t="str">
        <x:v>In Progress</x:v>
      </x:c>
      <x:c r="E6" s="12" t="str">
        <x:v>Official candidate home</x:v>
      </x:c>
      <x:c r="F6" s="12" t="e">
        <x:f>HYPERLINK("https://github.com/xujingxiang19883/job-applications-dashboard-2026/blob/main/resumes/Xu.Jingxiang.Arrowstreet_Quant_Developer_Intern.pdf","Open PDF")</x:f>
        <x:v>HYPERLINK is not implemented. linkLocation=https://github.com/xujingxiang19883/job-applications-dashboard-2026/blob/main/resumes/Xu.Jingxiang.Arrowstreet_Quant_Developer_Intern.pdf, friendlyName=Open PDF</x:v>
      </x:c>
      <x:c r="G6" s="40" t="str"/>
      <x:c r="H6" s="2"/>
      <x:c r="I6" s="2"/>
      <x:c r="J6" s="2"/>
      <x:c r="K6" s="2"/>
    </x:row>
    <x:row r="7" ht="30" customHeight="1">
      <x:c r="A7" s="38" t="str">
        <x:v>Applied Academics LLC</x:v>
      </x:c>
      <x:c r="B7" s="12" t="str">
        <x:v>Quantitative Analyst Intern</x:v>
      </x:c>
      <x:c r="C7" s="39" t="n">
        <x:v>46279</x:v>
      </x:c>
      <x:c r="D7" s="12" t="str">
        <x:v>Submitted</x:v>
      </x:c>
      <x:c r="E7" s="12" t="str">
        <x:v>Handshake confirmation</x:v>
      </x:c>
      <x:c r="F7" s="12" t="e">
        <x:f>HYPERLINK("https://github.com/xujingxiang19883/job-applications-dashboard-2026/blob/main/resumes/Xu.Jingxiang.Applied_Academics_Analyst_Intern_JD.pdf","Open PDF")</x:f>
        <x:v>HYPERLINK is not implemented. linkLocation=https://github.com/xujingxiang19883/job-applications-dashboard-2026/blob/main/resumes/Xu.Jingxiang.Applied_Academics_Analyst_Intern_JD.pdf, friendlyName=Open PDF</x:v>
      </x:c>
      <x:c r="G7" s="40" t="str"/>
      <x:c r="H7" s="2"/>
      <x:c r="I7" s="2"/>
      <x:c r="J7" s="2"/>
      <x:c r="K7" s="2"/>
    </x:row>
    <x:row r="8" ht="30" customHeight="1">
      <x:c r="A8" s="38" t="str">
        <x:v>IMC</x:v>
      </x:c>
      <x:c r="B8" s="12" t="str">
        <x:v>Quantitative Trader Intern, Summer 2027 (Chicago)</x:v>
      </x:c>
      <x:c r="C8" s="39" t="n">
        <x:v>46279</x:v>
      </x:c>
      <x:c r="D8" s="12" t="str">
        <x:v>Submitted</x:v>
      </x:c>
      <x:c r="E8" s="12" t="str">
        <x:v>Official confirmation page</x:v>
      </x:c>
      <x:c r="F8" s="12" t="e">
        <x:f>HYPERLINK("https://github.com/xujingxiang19883/job-applications-dashboard-2026/blob/main/resumes/Xu.Jingxiang.IMC_Trader_Intern_JD.pdf","Open PDF")</x:f>
        <x:v>HYPERLINK is not implemented. linkLocation=https://github.com/xujingxiang19883/job-applications-dashboard-2026/blob/main/resumes/Xu.Jingxiang.IMC_Trader_Intern_JD.pdf, friendlyName=Open PDF</x:v>
      </x:c>
      <x:c r="G8" s="40" t="str"/>
      <x:c r="H8" s="2"/>
      <x:c r="I8" s="2"/>
      <x:c r="J8" s="2"/>
      <x:c r="K8" s="2"/>
    </x:row>
    <x:row r="9" ht="30" customHeight="1">
      <x:c r="A9" s="38" t="str">
        <x:v>Balbec Capital LP</x:v>
      </x:c>
      <x:c r="B9" s="12" t="str">
        <x:v>2027 Quantitative Summer Analyst</x:v>
      </x:c>
      <x:c r="C9" s="39" t="n">
        <x:v>46279</x:v>
      </x:c>
      <x:c r="D9" s="12" t="str">
        <x:v>Submitted</x:v>
      </x:c>
      <x:c r="E9" s="12" t="str">
        <x:v>Handshake confirmation</x:v>
      </x:c>
      <x:c r="F9" s="12" t="e">
        <x:f>HYPERLINK("https://github.com/xujingxiang19883/job-applications-dashboard-2026/blob/main/resumes/Xu.Jingxiang.Balbec_Summer_Analyst_JD.pdf","Open PDF")</x:f>
        <x:v>HYPERLINK is not implemented. linkLocation=https://github.com/xujingxiang19883/job-applications-dashboard-2026/blob/main/resumes/Xu.Jingxiang.Balbec_Summer_Analyst_JD.pdf, friendlyName=Open PDF</x:v>
      </x:c>
      <x:c r="G9" s="40" t="str"/>
      <x:c r="H9" s="2"/>
      <x:c r="I9" s="2"/>
      <x:c r="J9" s="2"/>
      <x:c r="K9" s="2"/>
    </x:row>
    <x:row r="10" ht="30" customHeight="1">
      <x:c r="A10" s="38" t="str">
        <x:v>Walleye Capital</x:v>
      </x:c>
      <x:c r="B10" s="12" t="str">
        <x:v>Quantitative Developer Intern, Summer 2027</x:v>
      </x:c>
      <x:c r="C10" s="39" t="n">
        <x:v>46279</x:v>
      </x:c>
      <x:c r="D10" s="12" t="str">
        <x:v>Received / under review</x:v>
      </x:c>
      <x:c r="E10" s="12" t="str">
        <x:v>Official confirmation page</x:v>
      </x:c>
      <x:c r="F10" s="12" t="e">
        <x:f>HYPERLINK("https://github.com/xujingxiang19883/job-applications-dashboard-2026/blob/main/resumes/Xu.Jingxiang.Walleye_Quantic_Developer_Intern.pdf","Open PDF")</x:f>
        <x:v>HYPERLINK is not implemented. linkLocation=https://github.com/xujingxiang19883/job-applications-dashboard-2026/blob/main/resumes/Xu.Jingxiang.Walleye_Quantic_Developer_Intern.pdf, friendlyName=Open PDF</x:v>
      </x:c>
      <x:c r="G10" s="40" t="str"/>
      <x:c r="H10" s="2"/>
      <x:c r="I10" s="2"/>
      <x:c r="J10" s="2"/>
      <x:c r="K10" s="2"/>
    </x:row>
    <x:row r="11" ht="30" customHeight="1">
      <x:c r="A11" s="38" t="str">
        <x:v>Seven Research</x:v>
      </x:c>
      <x:c r="B11" s="12" t="str">
        <x:v>Quantitative Researcher Intern</x:v>
      </x:c>
      <x:c r="C11" s="39" t="n">
        <x:v>46279</x:v>
      </x:c>
      <x:c r="D11" s="12" t="str">
        <x:v>Received</x:v>
      </x:c>
      <x:c r="E11" s="12" t="str">
        <x:v>Official confirmation page</x:v>
      </x:c>
      <x:c r="F11" s="12" t="e">
        <x:f>HYPERLINK("https://github.com/xujingxiang19883/job-applications-dashboard-2026/blob/main/resumes/Xu.Jingxiang.Seven_Research_Quant_Researcher_Intern.pdf","Open PDF")</x:f>
        <x:v>HYPERLINK is not implemented. linkLocation=https://github.com/xujingxiang19883/job-applications-dashboard-2026/blob/main/resumes/Xu.Jingxiang.Seven_Research_Quant_Researcher_Intern.pdf, friendlyName=Open PDF</x:v>
      </x:c>
      <x:c r="G11" s="40" t="str"/>
      <x:c r="H11" s="2"/>
      <x:c r="I11" s="2"/>
      <x:c r="J11" s="2"/>
      <x:c r="K11" s="2"/>
    </x:row>
    <x:row r="12" ht="30" customHeight="1">
      <x:c r="A12" s="38" t="str">
        <x:v>Bank of America</x:v>
      </x:c>
      <x:c r="B12" s="12" t="str">
        <x:v>Global Quantitative Research Summer Associate Program, 2027</x:v>
      </x:c>
      <x:c r="C12" s="39" t="n">
        <x:v>46279</x:v>
      </x:c>
      <x:c r="D12" s="12" t="str">
        <x:v>Assessment outstanding</x:v>
      </x:c>
      <x:c r="E12" s="12" t="str">
        <x:v>Application Center</x:v>
      </x:c>
      <x:c r="F12" s="12" t="e">
        <x:f>HYPERLINK("https://github.com/xujingxiang19883/job-applications-dashboard-2026/blob/main/resumes/Xu.Jingxiang.BofA_Global_Quant_Research_2027.pdf","Open PDF")</x:f>
        <x:v>HYPERLINK is not implemented. linkLocation=https://github.com/xujingxiang19883/job-applications-dashboard-2026/blob/main/resumes/Xu.Jingxiang.BofA_Global_Quant_Research_2027.pdf, friendlyName=Open PDF</x:v>
      </x:c>
      <x:c r="G12" s="40" t="str">
        <x:v>Application submitted; employer assessment is still required.</x:v>
      </x:c>
      <x:c r="H12" s="2"/>
      <x:c r="I12" s="2"/>
      <x:c r="J12" s="2"/>
      <x:c r="K12" s="2"/>
    </x:row>
    <x:row r="13" ht="30" customHeight="1">
      <x:c r="A13" s="38" t="str">
        <x:v>Fidelity Investments</x:v>
      </x:c>
      <x:c r="B13" s="12" t="str">
        <x:v>Quantitative Research Intern, Multi-Asset Systematic Research Team</x:v>
      </x:c>
      <x:c r="C13" s="39" t="n">
        <x:v>46287</x:v>
      </x:c>
      <x:c r="D13" s="12" t="str">
        <x:v>Application received</x:v>
      </x:c>
      <x:c r="E13" s="12" t="str">
        <x:v>Workday Candidate Home</x:v>
      </x:c>
      <x:c r="F13" s="12" t="e">
        <x:f>HYPERLINK("https://github.com/xujingxiang19883/job-applications-dashboard-2026/blob/main/resumes/Xu.Jingxiang.Fidelity_Multi_Asset_Systematic_Research_2027.pdf","Open PDF")</x:f>
        <x:v>HYPERLINK is not implemented. linkLocation=https://github.com/xujingxiang19883/job-applications-dashboard-2026/blob/main/resumes/Xu.Jingxiang.Fidelity_Multi_Asset_Systematic_Research_2027.pdf, friendlyName=Open PDF</x:v>
      </x:c>
      <x:c r="G13" s="40" t="str"/>
      <x:c r="H13" s="2"/>
      <x:c r="I13" s="2"/>
      <x:c r="J13" s="2"/>
      <x:c r="K13" s="2"/>
    </x:row>
    <x:row r="14" ht="30" customHeight="1">
      <x:c r="A14" s="41" t="str">
        <x:v>Balbec Capital LP</x:v>
      </x:c>
      <x:c r="B14" s="42" t="str">
        <x:v>2027 Quantitative Summer Analyst</x:v>
      </x:c>
      <x:c r="C14" s="43" t="n">
        <x:v>46289</x:v>
      </x:c>
      <x:c r="D14" s="42" t="str">
        <x:v>Application received / reviewing</x:v>
      </x:c>
      <x:c r="E14" s="42" t="str">
        <x:v>Direct-portal confirmation email</x:v>
      </x:c>
      <x:c r="F14" s="42" t="e">
        <x:f>HYPERLINK("https://github.com/xujingxiang19883/job-applications-dashboard-2026/blob/main/resumes/Xu.Jingxiang.Balbec_Quantitative_Summer_Analyst.pdf","Open PDF")</x:f>
        <x:v>HYPERLINK is not implemented. linkLocation=https://github.com/xujingxiang19883/job-applications-dashboard-2026/blob/main/resumes/Xu.Jingxiang.Balbec_Quantitative_Summer_Analyst.pdf, friendlyName=Open PDF</x:v>
      </x:c>
      <x:c r="G14" s="44" t="str"/>
      <x:c r="H14" s="2"/>
      <x:c r="I14" s="2"/>
      <x:c r="J14" s="2"/>
      <x:c r="K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</x:row>
  </x:sheetData>
  <x:mergeCells>
    <x:mergeCell ref="A2:G2"/>
    <x:mergeCell ref="A3:G3"/>
  </x:mergeCells>
  <x:conditionalFormatting sqref="D6:D14">
    <x:cfRule type="containsText" dxfId="3" priority="1" operator="containsText" text="Assessment"/>
    <x:cfRule type="containsText" dxfId="4" priority="2" operator="containsText" text="received"/>
    <x:cfRule type="containsText" dxfId="5" priority="3" operator="containsText" text="Submitted"/>
  </x:conditionalFormatting>
  <x:pageMargins left="0.7" right="0.7" top="0.75" bottom="0.75" header="0.3" footer="0.3"/>
</x:worksheet>
</file>